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cuments\GitHub\Module-Summaries\Progress-Trackers\"/>
    </mc:Choice>
  </mc:AlternateContent>
  <xr:revisionPtr revIDLastSave="0" documentId="13_ncr:1_{39384EB3-FCCB-4618-AD19-AA28E896F7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ttendence" sheetId="1" r:id="rId1"/>
    <sheet name="Calculator" sheetId="3" r:id="rId2"/>
    <sheet name="No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 a="1"/>
  <c r="B15" i="1" s="1"/>
  <c r="E12" i="1"/>
  <c r="K44" i="1"/>
  <c r="K45" i="1"/>
  <c r="K46" i="1"/>
  <c r="K47" i="1"/>
  <c r="K48" i="1"/>
  <c r="K49" i="1"/>
  <c r="K50" i="1"/>
  <c r="K51" i="1"/>
  <c r="K52" i="1"/>
  <c r="K53" i="1"/>
  <c r="K54" i="1"/>
  <c r="K43" i="1"/>
  <c r="J44" i="1"/>
  <c r="J45" i="1"/>
  <c r="J46" i="1"/>
  <c r="J47" i="1"/>
  <c r="J48" i="1"/>
  <c r="J49" i="1"/>
  <c r="J50" i="1"/>
  <c r="J51" i="1"/>
  <c r="J52" i="1"/>
  <c r="J53" i="1"/>
  <c r="J54" i="1"/>
  <c r="J43" i="1"/>
  <c r="C44" i="1"/>
  <c r="C45" i="1"/>
  <c r="C46" i="1"/>
  <c r="C47" i="1"/>
  <c r="C48" i="1"/>
  <c r="C49" i="1"/>
  <c r="C50" i="1"/>
  <c r="C51" i="1"/>
  <c r="C52" i="1"/>
  <c r="C53" i="1"/>
  <c r="C54" i="1"/>
  <c r="C43" i="1"/>
  <c r="D21" i="2"/>
  <c r="D20" i="2"/>
  <c r="K8" i="1" l="1"/>
  <c r="C8" i="1"/>
  <c r="D4" i="1"/>
  <c r="G4" i="1"/>
  <c r="E5" i="1"/>
  <c r="D5" i="1"/>
  <c r="D6" i="1"/>
  <c r="E6" i="1"/>
  <c r="D7" i="1"/>
  <c r="D8" i="1"/>
  <c r="E4" i="1"/>
  <c r="E8" i="1"/>
  <c r="E7" i="1"/>
  <c r="F4" i="1"/>
  <c r="F5" i="1"/>
  <c r="F6" i="1"/>
  <c r="F7" i="1"/>
  <c r="F8" i="1"/>
  <c r="G5" i="1"/>
  <c r="G6" i="1"/>
  <c r="G7" i="1"/>
  <c r="G8" i="1"/>
  <c r="C5" i="1"/>
  <c r="H4" i="1"/>
  <c r="H5" i="1"/>
  <c r="H6" i="1"/>
  <c r="H7" i="1"/>
  <c r="H8" i="1"/>
  <c r="C4" i="1"/>
  <c r="C6" i="1"/>
  <c r="I4" i="1"/>
  <c r="I5" i="1"/>
  <c r="I6" i="1"/>
  <c r="I7" i="1"/>
  <c r="I8" i="1"/>
  <c r="C7" i="1"/>
  <c r="J4" i="1"/>
  <c r="J5" i="1"/>
  <c r="J6" i="1"/>
  <c r="J7" i="1"/>
  <c r="J8" i="1"/>
  <c r="K4" i="1"/>
  <c r="K5" i="1"/>
  <c r="K6" i="1"/>
  <c r="K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<sst xmlns="http://schemas.openxmlformats.org/spreadsheetml/2006/main" count="161" uniqueCount="46">
  <si>
    <t>Lecture</t>
  </si>
  <si>
    <t>COMP2211</t>
  </si>
  <si>
    <t>Networks and Systems</t>
  </si>
  <si>
    <t>Teaching:</t>
  </si>
  <si>
    <t>Lectures</t>
  </si>
  <si>
    <t>1x2hr</t>
  </si>
  <si>
    <t>Practical</t>
  </si>
  <si>
    <t>Assessment:</t>
  </si>
  <si>
    <t>Final Exam</t>
  </si>
  <si>
    <t>Assignment</t>
  </si>
  <si>
    <t>Report</t>
  </si>
  <si>
    <t>COMP2221</t>
  </si>
  <si>
    <t>Programming Paradigms</t>
  </si>
  <si>
    <t>2x1hr</t>
  </si>
  <si>
    <t>COMP2181</t>
  </si>
  <si>
    <t>Theory of Computation</t>
  </si>
  <si>
    <t>COMP2261</t>
  </si>
  <si>
    <t>Artificial Intelligence</t>
  </si>
  <si>
    <t>Presentation</t>
  </si>
  <si>
    <t>COMP2271</t>
  </si>
  <si>
    <t>Data Science</t>
  </si>
  <si>
    <t>COMP2281</t>
  </si>
  <si>
    <t>Software Engineering</t>
  </si>
  <si>
    <t>Review</t>
  </si>
  <si>
    <t>Supervisor Review</t>
  </si>
  <si>
    <t>Computer Class</t>
  </si>
  <si>
    <t>Problem Class</t>
  </si>
  <si>
    <t>General Test</t>
  </si>
  <si>
    <t>Workshop</t>
  </si>
  <si>
    <t>Day</t>
  </si>
  <si>
    <t>Module Code</t>
  </si>
  <si>
    <t>Class Type</t>
  </si>
  <si>
    <t>Time</t>
  </si>
  <si>
    <t>Module Name</t>
  </si>
  <si>
    <t>Monday</t>
  </si>
  <si>
    <t>Duration</t>
  </si>
  <si>
    <t>2 hours</t>
  </si>
  <si>
    <t>1 hour</t>
  </si>
  <si>
    <t>Tuesday</t>
  </si>
  <si>
    <t>Wednesday</t>
  </si>
  <si>
    <t>Thursday</t>
  </si>
  <si>
    <t>Friday</t>
  </si>
  <si>
    <t>Location</t>
  </si>
  <si>
    <t>Room</t>
  </si>
  <si>
    <t>Today's Timetable</t>
  </si>
  <si>
    <t>Attended?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</si>
</sst>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809]dddd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7C80"/>
      <name val="Calibri"/>
      <family val="2"/>
      <scheme val="minor"/>
    </font>
    <font>
      <sz val="11"/>
      <color rgb="FFFFCC66"/>
      <name val="Calibri"/>
      <family val="2"/>
      <scheme val="minor"/>
    </font>
    <font>
      <sz val="11"/>
      <color rgb="FFCCFF66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 style="thick">
        <color theme="1" tint="0.14999847407452621"/>
      </left>
      <right style="thick">
        <color theme="1" tint="0.14999847407452621"/>
      </right>
      <top style="thick">
        <color theme="1" tint="0.14999847407452621"/>
      </top>
      <bottom style="thick">
        <color theme="1" tint="0.149998474074526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4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9" fontId="0" fillId="0" borderId="0" xfId="0" applyNumberFormat="1"/>
    <xf numFmtId="9" fontId="0" fillId="0" borderId="0" xfId="1" applyFont="1"/>
    <xf numFmtId="0" fontId="4" fillId="2" borderId="0" xfId="0" applyFont="1" applyFill="1" applyBorder="1"/>
    <xf numFmtId="0" fontId="7" fillId="2" borderId="0" xfId="0" applyFont="1" applyFill="1" applyBorder="1"/>
    <xf numFmtId="0" fontId="6" fillId="2" borderId="0" xfId="0" applyFont="1" applyFill="1" applyBorder="1"/>
    <xf numFmtId="0" fontId="5" fillId="2" borderId="0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5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2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2" fontId="2" fillId="2" borderId="0" xfId="0" applyNumberFormat="1" applyFont="1" applyFill="1" applyBorder="1" applyAlignment="1">
      <alignment horizontal="center"/>
    </xf>
    <xf numFmtId="2" fontId="4" fillId="2" borderId="0" xfId="0" applyNumberFormat="1" applyFont="1" applyFill="1" applyAlignment="1">
      <alignment horizontal="left"/>
    </xf>
    <xf numFmtId="20" fontId="9" fillId="2" borderId="0" xfId="0" applyNumberFormat="1" applyFont="1" applyFill="1"/>
    <xf numFmtId="0" fontId="9" fillId="2" borderId="0" xfId="0" applyFont="1" applyFill="1"/>
    <xf numFmtId="0" fontId="4" fillId="2" borderId="9" xfId="0" applyFont="1" applyFill="1" applyBorder="1"/>
    <xf numFmtId="0" fontId="10" fillId="2" borderId="0" xfId="0" applyFont="1" applyFill="1" applyAlignment="1">
      <alignment horizontal="left"/>
    </xf>
    <xf numFmtId="167" fontId="4" fillId="2" borderId="0" xfId="0" applyNumberFormat="1" applyFont="1" applyFill="1"/>
  </cellXfs>
  <cellStyles count="2">
    <cellStyle name="Normal" xfId="0" builtinId="0"/>
    <cellStyle name="Per cent" xfId="1" builtinId="5"/>
  </cellStyles>
  <dxfs count="3">
    <dxf>
      <font>
        <color rgb="FFCCFF66"/>
      </font>
      <fill>
        <patternFill>
          <bgColor rgb="FFCCFF99"/>
        </patternFill>
      </fill>
    </dxf>
    <dxf>
      <font>
        <color rgb="FFFFCC66"/>
      </font>
      <fill>
        <patternFill>
          <bgColor rgb="FFFFCC66"/>
        </patternFill>
      </fill>
    </dxf>
    <dxf>
      <font>
        <color rgb="FFFF7C80"/>
      </font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  <color rgb="FFFFCC66"/>
      <color rgb="FFCCFF99"/>
      <color rgb="FFCCFF66"/>
      <color rgb="FFFFFF99"/>
      <color rgb="FFCC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4"/>
  <sheetViews>
    <sheetView tabSelected="1" topLeftCell="A10" workbookViewId="0">
      <selection activeCell="B16" sqref="B16"/>
    </sheetView>
  </sheetViews>
  <sheetFormatPr defaultRowHeight="14.5" x14ac:dyDescent="0.35"/>
  <cols>
    <col min="1" max="1" width="8.7265625" style="1" customWidth="1"/>
    <col min="2" max="2" width="12" style="17" bestFit="1" customWidth="1"/>
    <col min="3" max="11" width="10.6328125" style="1" customWidth="1"/>
    <col min="12" max="12" width="3.1796875" style="1" customWidth="1"/>
    <col min="13" max="16384" width="8.7265625" style="1"/>
  </cols>
  <sheetData>
    <row r="1" spans="2:12" ht="15" thickBot="1" x14ac:dyDescent="0.4"/>
    <row r="2" spans="2:12" x14ac:dyDescent="0.35">
      <c r="B2" s="19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2:12" ht="15" thickBot="1" x14ac:dyDescent="0.4">
      <c r="B3" s="16"/>
      <c r="C3" s="24">
        <v>9</v>
      </c>
      <c r="D3" s="24">
        <v>10</v>
      </c>
      <c r="E3" s="24">
        <v>11</v>
      </c>
      <c r="F3" s="24">
        <v>12</v>
      </c>
      <c r="G3" s="24">
        <v>13</v>
      </c>
      <c r="H3" s="24">
        <v>14</v>
      </c>
      <c r="I3" s="24">
        <v>15</v>
      </c>
      <c r="J3" s="24">
        <v>16</v>
      </c>
      <c r="K3" s="24">
        <v>17</v>
      </c>
      <c r="L3" s="13"/>
    </row>
    <row r="4" spans="2:12" ht="15.5" thickTop="1" thickBot="1" x14ac:dyDescent="0.4">
      <c r="B4" s="16" t="s">
        <v>34</v>
      </c>
      <c r="C4" s="28" t="str">
        <f>_xlfn.XLOOKUP(_xlfn.CONCAT($B4, " ", C$3), $J$43:$J$54, $E$43:$E$54, "", 0) &amp; _xlfn.XLOOKUP(_xlfn.CONCAT($B4, " ", C$3), $K$43:$K$54, $E$43:$E$54, "", 0)</f>
        <v>Lecture</v>
      </c>
      <c r="D4" s="28" t="str">
        <f>_xlfn.XLOOKUP(_xlfn.CONCAT($B4, " ", D$3), $J$43:$J$54, $E$43:$E$54, "", 0) &amp; _xlfn.XLOOKUP(_xlfn.CONCAT($B4, " ", D$3), $K$43:$K$54, $E$43:$E$54, "", 0)</f>
        <v>Lecture</v>
      </c>
      <c r="E4" s="28" t="str">
        <f>_xlfn.XLOOKUP(_xlfn.CONCAT($B4, " ", E$3), $J$43:$J$54, $E$43:$E$54, "", 0) &amp; _xlfn.XLOOKUP(_xlfn.CONCAT($B4, " ", E$3), $K$43:$K$54, $E$43:$E$54, "", 0)</f>
        <v/>
      </c>
      <c r="F4" s="28" t="str">
        <f>_xlfn.XLOOKUP(_xlfn.CONCAT($B4, " ", F$3), $J$43:$J$54, $E$43:$E$54, "", 0) &amp; _xlfn.XLOOKUP(_xlfn.CONCAT($B4, " ", F$3), $K$43:$K$54, $E$43:$E$54, "", 0)</f>
        <v/>
      </c>
      <c r="G4" s="28" t="str">
        <f>_xlfn.XLOOKUP(_xlfn.CONCAT($B4, " ", G$3), $J$43:$J$54, $E$43:$E$54, "", 0) &amp; _xlfn.XLOOKUP(_xlfn.CONCAT($B4, " ", G$3), $K$43:$K$54, $E$43:$E$54, "", 0)</f>
        <v>Practical</v>
      </c>
      <c r="H4" s="28" t="str">
        <f>_xlfn.XLOOKUP(_xlfn.CONCAT($B4, " ", H$3), $J$43:$J$54, $E$43:$E$54, "", 0) &amp; _xlfn.XLOOKUP(_xlfn.CONCAT($B4, " ", H$3), $K$43:$K$54, $E$43:$E$54, "", 0)</f>
        <v>Practical</v>
      </c>
      <c r="I4" s="28" t="str">
        <f>_xlfn.XLOOKUP(_xlfn.CONCAT($B4, " ", I$3), $J$43:$J$54, $E$43:$E$54, "", 0) &amp; _xlfn.XLOOKUP(_xlfn.CONCAT($B4, " ", I$3), $K$43:$K$54, $E$43:$E$54, "", 0)</f>
        <v/>
      </c>
      <c r="J4" s="28" t="str">
        <f>_xlfn.XLOOKUP(_xlfn.CONCAT($B4, " ", J$3), $J$43:$J$54, $E$43:$E$54, "", 0) &amp; _xlfn.XLOOKUP(_xlfn.CONCAT($B4, " ", J$3), $K$43:$K$54, $E$43:$E$54, "", 0)</f>
        <v/>
      </c>
      <c r="K4" s="28" t="str">
        <f>_xlfn.XLOOKUP(_xlfn.CONCAT($B4, " ", K$3), $J$43:$J$54, $E$43:$E$54, "", 0) &amp; _xlfn.XLOOKUP(_xlfn.CONCAT($B4, " ", K$3), $K$43:$K$54, $E$43:$E$54, "", 0)</f>
        <v/>
      </c>
      <c r="L4" s="13"/>
    </row>
    <row r="5" spans="2:12" ht="15.5" thickTop="1" thickBot="1" x14ac:dyDescent="0.4">
      <c r="B5" s="16" t="s">
        <v>38</v>
      </c>
      <c r="C5" s="28" t="str">
        <f>_xlfn.XLOOKUP(_xlfn.CONCAT($B5, " ", C$3), $J$43:$J$54, $E$43:$E$54, "", 0) &amp; _xlfn.XLOOKUP(_xlfn.CONCAT($B5, " ", C$3), $K$43:$K$54, $E$43:$E$54, "", 0)</f>
        <v>Practical</v>
      </c>
      <c r="D5" s="28" t="str">
        <f>_xlfn.XLOOKUP(_xlfn.CONCAT($B5, " ", D$3), $J$43:$J$54, $E$43:$E$54, "", 0) &amp; _xlfn.XLOOKUP(_xlfn.CONCAT($B5, " ", D$3), $K$43:$K$54, $E$43:$E$54, "", 0)</f>
        <v>Practical</v>
      </c>
      <c r="E5" s="28" t="str">
        <f>_xlfn.XLOOKUP(_xlfn.CONCAT($B5, " ", E$3), $J$43:$J$54, $E$43:$E$54, "", 0) &amp; _xlfn.XLOOKUP(_xlfn.CONCAT($B5, " ", E$3), $K$43:$K$54, $E$43:$E$54, "", 0)</f>
        <v/>
      </c>
      <c r="F5" s="28" t="str">
        <f>_xlfn.XLOOKUP(_xlfn.CONCAT($B5, " ", F$3), $J$43:$J$54, $E$43:$E$54, "", 0) &amp; _xlfn.XLOOKUP(_xlfn.CONCAT($B5, " ", F$3), $K$43:$K$54, $E$43:$E$54, "", 0)</f>
        <v/>
      </c>
      <c r="G5" s="28" t="str">
        <f>_xlfn.XLOOKUP(_xlfn.CONCAT($B5, " ", G$3), $J$43:$J$54, $E$43:$E$54, "", 0) &amp; _xlfn.XLOOKUP(_xlfn.CONCAT($B5, " ", G$3), $K$43:$K$54, $E$43:$E$54, "", 0)</f>
        <v>Lecture</v>
      </c>
      <c r="H5" s="28" t="str">
        <f>_xlfn.XLOOKUP(_xlfn.CONCAT($B5, " ", H$3), $J$43:$J$54, $E$43:$E$54, "", 0) &amp; _xlfn.XLOOKUP(_xlfn.CONCAT($B5, " ", H$3), $K$43:$K$54, $E$43:$E$54, "", 0)</f>
        <v/>
      </c>
      <c r="I5" s="28" t="str">
        <f>_xlfn.XLOOKUP(_xlfn.CONCAT($B5, " ", I$3), $J$43:$J$54, $E$43:$E$54, "", 0) &amp; _xlfn.XLOOKUP(_xlfn.CONCAT($B5, " ", I$3), $K$43:$K$54, $E$43:$E$54, "", 0)</f>
        <v/>
      </c>
      <c r="J5" s="28" t="str">
        <f>_xlfn.XLOOKUP(_xlfn.CONCAT($B5, " ", J$3), $J$43:$J$54, $E$43:$E$54, "", 0) &amp; _xlfn.XLOOKUP(_xlfn.CONCAT($B5, " ", J$3), $K$43:$K$54, $E$43:$E$54, "", 0)</f>
        <v/>
      </c>
      <c r="K5" s="28" t="str">
        <f>_xlfn.XLOOKUP(_xlfn.CONCAT($B5, " ", K$3), $J$43:$J$54, $E$43:$E$54, "", 0) &amp; _xlfn.XLOOKUP(_xlfn.CONCAT($B5, " ", K$3), $K$43:$K$54, $E$43:$E$54, "", 0)</f>
        <v/>
      </c>
      <c r="L5" s="13"/>
    </row>
    <row r="6" spans="2:12" ht="15.5" thickTop="1" thickBot="1" x14ac:dyDescent="0.4">
      <c r="B6" s="16" t="s">
        <v>39</v>
      </c>
      <c r="C6" s="28" t="str">
        <f>_xlfn.XLOOKUP(_xlfn.CONCAT($B6, " ", C$3), $J$43:$J$54, $E$43:$E$54, "", 0) &amp; _xlfn.XLOOKUP(_xlfn.CONCAT($B6, " ", C$3), $K$43:$K$54, $E$43:$E$54, "", 0)</f>
        <v>Lecture</v>
      </c>
      <c r="D6" s="28" t="str">
        <f>_xlfn.XLOOKUP(_xlfn.CONCAT($B6, " ", D$3), $J$43:$J$54, $E$43:$E$54, "", 0) &amp; _xlfn.XLOOKUP(_xlfn.CONCAT($B6, " ", D$3), $K$43:$K$54, $E$43:$E$54, "", 0)</f>
        <v/>
      </c>
      <c r="E6" s="28" t="str">
        <f>_xlfn.XLOOKUP(_xlfn.CONCAT($B6, " ", E$3), $J$43:$J$54, $E$43:$E$54, "", 0) &amp; _xlfn.XLOOKUP(_xlfn.CONCAT($B6, " ", E$3), $K$43:$K$54, $E$43:$E$54, "", 0)</f>
        <v/>
      </c>
      <c r="F6" s="28" t="str">
        <f>_xlfn.XLOOKUP(_xlfn.CONCAT($B6, " ", F$3), $J$43:$J$54, $E$43:$E$54, "", 0) &amp; _xlfn.XLOOKUP(_xlfn.CONCAT($B6, " ", F$3), $K$43:$K$54, $E$43:$E$54, "", 0)</f>
        <v/>
      </c>
      <c r="G6" s="28" t="str">
        <f>_xlfn.XLOOKUP(_xlfn.CONCAT($B6, " ", G$3), $J$43:$J$54, $E$43:$E$54, "", 0) &amp; _xlfn.XLOOKUP(_xlfn.CONCAT($B6, " ", G$3), $K$43:$K$54, $E$43:$E$54, "", 0)</f>
        <v>Practical</v>
      </c>
      <c r="H6" s="28" t="str">
        <f>_xlfn.XLOOKUP(_xlfn.CONCAT($B6, " ", H$3), $J$43:$J$54, $E$43:$E$54, "", 0) &amp; _xlfn.XLOOKUP(_xlfn.CONCAT($B6, " ", H$3), $K$43:$K$54, $E$43:$E$54, "", 0)</f>
        <v>Practical</v>
      </c>
      <c r="I6" s="28" t="str">
        <f>_xlfn.XLOOKUP(_xlfn.CONCAT($B6, " ", I$3), $J$43:$J$54, $E$43:$E$54, "", 0) &amp; _xlfn.XLOOKUP(_xlfn.CONCAT($B6, " ", I$3), $K$43:$K$54, $E$43:$E$54, "", 0)</f>
        <v/>
      </c>
      <c r="J6" s="28" t="str">
        <f>_xlfn.XLOOKUP(_xlfn.CONCAT($B6, " ", J$3), $J$43:$J$54, $E$43:$E$54, "", 0) &amp; _xlfn.XLOOKUP(_xlfn.CONCAT($B6, " ", J$3), $K$43:$K$54, $E$43:$E$54, "", 0)</f>
        <v/>
      </c>
      <c r="K6" s="28" t="str">
        <f>_xlfn.XLOOKUP(_xlfn.CONCAT($B6, " ", K$3), $J$43:$J$54, $E$43:$E$54, "", 0) &amp; _xlfn.XLOOKUP(_xlfn.CONCAT($B6, " ", K$3), $K$43:$K$54, $E$43:$E$54, "", 0)</f>
        <v/>
      </c>
      <c r="L6" s="13"/>
    </row>
    <row r="7" spans="2:12" ht="15.5" thickTop="1" thickBot="1" x14ac:dyDescent="0.4">
      <c r="B7" s="16" t="s">
        <v>40</v>
      </c>
      <c r="C7" s="28" t="str">
        <f>_xlfn.XLOOKUP(_xlfn.CONCAT($B7, " ", C$3), $J$43:$J$54, $E$43:$E$54, "", 0) &amp; _xlfn.XLOOKUP(_xlfn.CONCAT($B7, " ", C$3), $K$43:$K$54, $E$43:$E$54, "", 0)</f>
        <v>Practical</v>
      </c>
      <c r="D7" s="28" t="str">
        <f>_xlfn.XLOOKUP(_xlfn.CONCAT($B7, " ", D$3), $J$43:$J$54, $E$43:$E$54, "", 0) &amp; _xlfn.XLOOKUP(_xlfn.CONCAT($B7, " ", D$3), $K$43:$K$54, $E$43:$E$54, "", 0)</f>
        <v>Practical</v>
      </c>
      <c r="E7" s="28" t="str">
        <f>_xlfn.XLOOKUP(_xlfn.CONCAT($B7, " ", E$3), $J$43:$J$54, $E$43:$E$54, "", 0) &amp; _xlfn.XLOOKUP(_xlfn.CONCAT($B7, " ", E$3), $K$43:$K$54, $E$43:$E$54, "", 0)</f>
        <v>Lecture</v>
      </c>
      <c r="F7" s="28" t="str">
        <f>_xlfn.XLOOKUP(_xlfn.CONCAT($B7, " ", F$3), $J$43:$J$54, $E$43:$E$54, "", 0) &amp; _xlfn.XLOOKUP(_xlfn.CONCAT($B7, " ", F$3), $K$43:$K$54, $E$43:$E$54, "", 0)</f>
        <v/>
      </c>
      <c r="G7" s="28" t="str">
        <f>_xlfn.XLOOKUP(_xlfn.CONCAT($B7, " ", G$3), $J$43:$J$54, $E$43:$E$54, "", 0) &amp; _xlfn.XLOOKUP(_xlfn.CONCAT($B7, " ", G$3), $K$43:$K$54, $E$43:$E$54, "", 0)</f>
        <v>Lecture</v>
      </c>
      <c r="H7" s="28" t="str">
        <f>_xlfn.XLOOKUP(_xlfn.CONCAT($B7, " ", H$3), $J$43:$J$54, $E$43:$E$54, "", 0) &amp; _xlfn.XLOOKUP(_xlfn.CONCAT($B7, " ", H$3), $K$43:$K$54, $E$43:$E$54, "", 0)</f>
        <v/>
      </c>
      <c r="I7" s="28" t="str">
        <f>_xlfn.XLOOKUP(_xlfn.CONCAT($B7, " ", I$3), $J$43:$J$54, $E$43:$E$54, "", 0) &amp; _xlfn.XLOOKUP(_xlfn.CONCAT($B7, " ", I$3), $K$43:$K$54, $E$43:$E$54, "", 0)</f>
        <v/>
      </c>
      <c r="J7" s="28" t="str">
        <f>_xlfn.XLOOKUP(_xlfn.CONCAT($B7, " ", J$3), $J$43:$J$54, $E$43:$E$54, "", 0) &amp; _xlfn.XLOOKUP(_xlfn.CONCAT($B7, " ", J$3), $K$43:$K$54, $E$43:$E$54, "", 0)</f>
        <v/>
      </c>
      <c r="K7" s="28" t="str">
        <f>_xlfn.XLOOKUP(_xlfn.CONCAT($B7, " ", K$3), $J$43:$J$54, $E$43:$E$54, "", 0) &amp; _xlfn.XLOOKUP(_xlfn.CONCAT($B7, " ", K$3), $K$43:$K$54, $E$43:$E$54, "", 0)</f>
        <v/>
      </c>
      <c r="L7" s="13"/>
    </row>
    <row r="8" spans="2:12" ht="15.5" thickTop="1" thickBot="1" x14ac:dyDescent="0.4">
      <c r="B8" s="16" t="s">
        <v>41</v>
      </c>
      <c r="C8" s="28" t="str">
        <f>_xlfn.XLOOKUP(_xlfn.CONCAT($B8, " ", C$3), $J$43:$J$54, $E$43:$E$54, "", 0) &amp; _xlfn.XLOOKUP(_xlfn.CONCAT($B8, " ", C$3), $K$43:$K$54, $E$43:$E$54, "", 0)</f>
        <v>Lecture</v>
      </c>
      <c r="D8" s="28" t="str">
        <f>_xlfn.XLOOKUP(_xlfn.CONCAT($B8, " ", D$3), $J$43:$J$54, $E$43:$E$54, "", 0) &amp; _xlfn.XLOOKUP(_xlfn.CONCAT($B8, " ", D$3), $K$43:$K$54, $E$43:$E$54, "", 0)</f>
        <v/>
      </c>
      <c r="E8" s="28" t="str">
        <f>_xlfn.XLOOKUP(_xlfn.CONCAT($B8, " ", E$3), $J$43:$J$54, $E$43:$E$54, "", 0) &amp; _xlfn.XLOOKUP(_xlfn.CONCAT($B8, " ", E$3), $K$43:$K$54, $E$43:$E$54, "", 0)</f>
        <v/>
      </c>
      <c r="F8" s="28" t="str">
        <f>_xlfn.XLOOKUP(_xlfn.CONCAT($B8, " ", F$3), $J$43:$J$54, $E$43:$E$54, "", 0) &amp; _xlfn.XLOOKUP(_xlfn.CONCAT($B8, " ", F$3), $K$43:$K$54, $E$43:$E$54, "", 0)</f>
        <v/>
      </c>
      <c r="G8" s="28" t="str">
        <f>_xlfn.XLOOKUP(_xlfn.CONCAT($B8, " ", G$3), $J$43:$J$54, $E$43:$E$54, "", 0) &amp; _xlfn.XLOOKUP(_xlfn.CONCAT($B8, " ", G$3), $K$43:$K$54, $E$43:$E$54, "", 0)</f>
        <v>Workshop</v>
      </c>
      <c r="H8" s="28" t="str">
        <f>_xlfn.XLOOKUP(_xlfn.CONCAT($B8, " ", H$3), $J$43:$J$54, $E$43:$E$54, "", 0) &amp; _xlfn.XLOOKUP(_xlfn.CONCAT($B8, " ", H$3), $K$43:$K$54, $E$43:$E$54, "", 0)</f>
        <v>Workshop</v>
      </c>
      <c r="I8" s="28" t="str">
        <f>_xlfn.XLOOKUP(_xlfn.CONCAT($B8, " ", I$3), $J$43:$J$54, $E$43:$E$54, "", 0) &amp; _xlfn.XLOOKUP(_xlfn.CONCAT($B8, " ", I$3), $K$43:$K$54, $E$43:$E$54, "", 0)</f>
        <v/>
      </c>
      <c r="J8" s="28" t="str">
        <f>_xlfn.XLOOKUP(_xlfn.CONCAT($B8, " ", J$3), $J$43:$J$54, $E$43:$E$54, "", 0) &amp; _xlfn.XLOOKUP(_xlfn.CONCAT($B8, " ", J$3), $K$43:$K$54, $E$43:$E$54, "", 0)</f>
        <v>Practical</v>
      </c>
      <c r="K8" s="28" t="str">
        <f>_xlfn.XLOOKUP(_xlfn.CONCAT($B8, " ", K$3), $J$43:$J$54, $E$43:$E$54, "", 0) &amp; _xlfn.XLOOKUP(_xlfn.CONCAT($B8, " ", K$3), $K$43:$K$54, $E$43:$E$54, "", 0)</f>
        <v>Practical</v>
      </c>
      <c r="L8" s="13"/>
    </row>
    <row r="9" spans="2:12" ht="15" thickTop="1" x14ac:dyDescent="0.35">
      <c r="B9" s="20"/>
      <c r="C9" s="7"/>
      <c r="D9" s="7"/>
      <c r="E9" s="7"/>
      <c r="F9" s="7"/>
      <c r="G9" s="7"/>
      <c r="H9" s="7"/>
      <c r="I9" s="7"/>
      <c r="J9" s="7"/>
      <c r="K9" s="7"/>
      <c r="L9" s="13"/>
    </row>
    <row r="10" spans="2:12" ht="15" thickBot="1" x14ac:dyDescent="0.4">
      <c r="B10" s="21"/>
      <c r="C10" s="14"/>
      <c r="D10" s="14"/>
      <c r="E10" s="14"/>
      <c r="F10" s="14"/>
      <c r="G10" s="14"/>
      <c r="H10" s="14"/>
      <c r="I10" s="14"/>
      <c r="J10" s="14"/>
      <c r="K10" s="14"/>
      <c r="L10" s="15"/>
    </row>
    <row r="12" spans="2:12" ht="23.5" x14ac:dyDescent="0.55000000000000004">
      <c r="B12" s="29" t="s">
        <v>44</v>
      </c>
      <c r="E12" s="30">
        <f ca="1">NOW()</f>
        <v>46153.529448611109</v>
      </c>
    </row>
    <row r="14" spans="2:12" x14ac:dyDescent="0.35">
      <c r="B14" s="3" t="s">
        <v>30</v>
      </c>
      <c r="C14" s="18" t="s">
        <v>33</v>
      </c>
      <c r="D14" s="18"/>
      <c r="E14" s="3" t="s">
        <v>31</v>
      </c>
      <c r="F14" s="3" t="s">
        <v>32</v>
      </c>
      <c r="G14" s="2" t="s">
        <v>42</v>
      </c>
      <c r="H14" s="3" t="s">
        <v>35</v>
      </c>
      <c r="I14" s="3" t="s">
        <v>45</v>
      </c>
    </row>
    <row r="15" spans="2:12" x14ac:dyDescent="0.35">
      <c r="B15" s="17" t="e" cm="1" vm="1">
        <f t="array" ref="B15">_xlfn._xlws.FILTER(B43:I54, G43:G54="Monday")</f>
        <v>#VALUE!</v>
      </c>
    </row>
    <row r="42" spans="2:11" x14ac:dyDescent="0.35">
      <c r="B42" s="3" t="s">
        <v>30</v>
      </c>
      <c r="C42" s="18" t="s">
        <v>33</v>
      </c>
      <c r="D42" s="18"/>
      <c r="E42" s="3" t="s">
        <v>31</v>
      </c>
      <c r="F42" s="3" t="s">
        <v>29</v>
      </c>
      <c r="G42" s="3" t="s">
        <v>32</v>
      </c>
      <c r="H42" s="2" t="s">
        <v>42</v>
      </c>
      <c r="I42" s="3" t="s">
        <v>35</v>
      </c>
    </row>
    <row r="43" spans="2:11" x14ac:dyDescent="0.35">
      <c r="B43" s="17" t="s">
        <v>1</v>
      </c>
      <c r="C43" s="22" t="str">
        <f>VLOOKUP(B43,Calculator!$A$1:$B$6, 2, FALSE)</f>
        <v>Networks and Systems</v>
      </c>
      <c r="D43" s="22"/>
      <c r="E43" s="8" t="s">
        <v>0</v>
      </c>
      <c r="F43" s="23" t="s">
        <v>34</v>
      </c>
      <c r="G43" s="25">
        <v>9</v>
      </c>
      <c r="H43" s="1" t="s">
        <v>43</v>
      </c>
      <c r="I43" s="1" t="s">
        <v>36</v>
      </c>
      <c r="J43" s="26" t="str">
        <f>_xlfn.CONCAT(F43, " ", G43)</f>
        <v>Monday 9</v>
      </c>
      <c r="K43" s="27" t="str">
        <f>IF(I43="2 hours",_xlfn.CONCAT(F43," ",G43+1), "")</f>
        <v>Monday 10</v>
      </c>
    </row>
    <row r="44" spans="2:11" x14ac:dyDescent="0.35">
      <c r="B44" s="17" t="s">
        <v>1</v>
      </c>
      <c r="C44" s="1" t="str">
        <f>VLOOKUP(B44,Calculator!$A$1:$B$6, 2, FALSE)</f>
        <v>Networks and Systems</v>
      </c>
      <c r="E44" s="9" t="s">
        <v>6</v>
      </c>
      <c r="F44" s="23" t="s">
        <v>38</v>
      </c>
      <c r="G44" s="25">
        <v>9</v>
      </c>
      <c r="H44" s="1" t="s">
        <v>43</v>
      </c>
      <c r="I44" s="1" t="s">
        <v>36</v>
      </c>
      <c r="J44" s="26" t="str">
        <f>_xlfn.CONCAT(F44, " ", G44)</f>
        <v>Tuesday 9</v>
      </c>
      <c r="K44" s="27" t="str">
        <f>IF(I44="2 hours",_xlfn.CONCAT(F44," ",G44+1), "")</f>
        <v>Tuesday 10</v>
      </c>
    </row>
    <row r="45" spans="2:11" x14ac:dyDescent="0.35">
      <c r="B45" s="17" t="s">
        <v>11</v>
      </c>
      <c r="C45" s="1" t="str">
        <f>VLOOKUP(B45,Calculator!$A$1:$B$6, 2, FALSE)</f>
        <v>Programming Paradigms</v>
      </c>
      <c r="E45" s="8" t="s">
        <v>0</v>
      </c>
      <c r="F45" s="23" t="s">
        <v>39</v>
      </c>
      <c r="G45" s="25">
        <v>9</v>
      </c>
      <c r="H45" s="1" t="s">
        <v>43</v>
      </c>
      <c r="I45" s="1" t="s">
        <v>37</v>
      </c>
      <c r="J45" s="26" t="str">
        <f>_xlfn.CONCAT(F45, " ", G45)</f>
        <v>Wednesday 9</v>
      </c>
      <c r="K45" s="27" t="str">
        <f>IF(I45="2 hours",_xlfn.CONCAT(F45," ",G45+1), "")</f>
        <v/>
      </c>
    </row>
    <row r="46" spans="2:11" x14ac:dyDescent="0.35">
      <c r="B46" s="17" t="s">
        <v>11</v>
      </c>
      <c r="C46" s="1" t="str">
        <f>VLOOKUP(B46,Calculator!$A$1:$B$6, 2, FALSE)</f>
        <v>Programming Paradigms</v>
      </c>
      <c r="E46" s="9" t="s">
        <v>6</v>
      </c>
      <c r="F46" s="23" t="s">
        <v>40</v>
      </c>
      <c r="G46" s="25">
        <v>9</v>
      </c>
      <c r="H46" s="1" t="s">
        <v>43</v>
      </c>
      <c r="I46" s="1" t="s">
        <v>36</v>
      </c>
      <c r="J46" s="26" t="str">
        <f>_xlfn.CONCAT(F46, " ", G46)</f>
        <v>Thursday 9</v>
      </c>
      <c r="K46" s="27" t="str">
        <f>IF(I46="2 hours",_xlfn.CONCAT(F46," ",G46+1), "")</f>
        <v>Thursday 10</v>
      </c>
    </row>
    <row r="47" spans="2:11" x14ac:dyDescent="0.35">
      <c r="B47" s="17" t="s">
        <v>14</v>
      </c>
      <c r="C47" s="1" t="str">
        <f>VLOOKUP(B47,Calculator!$A$1:$B$6, 2, FALSE)</f>
        <v>Theory of Computation</v>
      </c>
      <c r="E47" s="8" t="s">
        <v>0</v>
      </c>
      <c r="F47" s="23" t="s">
        <v>41</v>
      </c>
      <c r="G47" s="25">
        <v>9</v>
      </c>
      <c r="H47" s="1" t="s">
        <v>43</v>
      </c>
      <c r="I47" s="1" t="s">
        <v>37</v>
      </c>
      <c r="J47" s="26" t="str">
        <f>_xlfn.CONCAT(F47, " ", G47)</f>
        <v>Friday 9</v>
      </c>
      <c r="K47" s="27" t="str">
        <f>IF(I47="2 hours",_xlfn.CONCAT(F47," ",G47+1), "")</f>
        <v/>
      </c>
    </row>
    <row r="48" spans="2:11" x14ac:dyDescent="0.35">
      <c r="B48" s="17" t="s">
        <v>14</v>
      </c>
      <c r="C48" s="1" t="str">
        <f>VLOOKUP(B48,Calculator!$A$1:$B$6, 2, FALSE)</f>
        <v>Theory of Computation</v>
      </c>
      <c r="E48" s="9" t="s">
        <v>6</v>
      </c>
      <c r="F48" s="23" t="s">
        <v>41</v>
      </c>
      <c r="G48" s="25">
        <v>16</v>
      </c>
      <c r="H48" s="1" t="s">
        <v>43</v>
      </c>
      <c r="I48" s="1" t="s">
        <v>36</v>
      </c>
      <c r="J48" s="26" t="str">
        <f>_xlfn.CONCAT(F48, " ", G48)</f>
        <v>Friday 16</v>
      </c>
      <c r="K48" s="27" t="str">
        <f>IF(I48="2 hours",_xlfn.CONCAT(F48," ",G48+1), "")</f>
        <v>Friday 17</v>
      </c>
    </row>
    <row r="49" spans="2:11" x14ac:dyDescent="0.35">
      <c r="B49" s="17" t="s">
        <v>16</v>
      </c>
      <c r="C49" s="1" t="str">
        <f>VLOOKUP(B49,Calculator!$A$1:$B$6, 2, FALSE)</f>
        <v>Artificial Intelligence</v>
      </c>
      <c r="E49" s="8" t="s">
        <v>0</v>
      </c>
      <c r="F49" s="23" t="s">
        <v>40</v>
      </c>
      <c r="G49" s="25">
        <v>11</v>
      </c>
      <c r="H49" s="1" t="s">
        <v>43</v>
      </c>
      <c r="I49" s="1" t="s">
        <v>37</v>
      </c>
      <c r="J49" s="26" t="str">
        <f>_xlfn.CONCAT(F49, " ", G49)</f>
        <v>Thursday 11</v>
      </c>
      <c r="K49" s="27" t="str">
        <f>IF(I49="2 hours",_xlfn.CONCAT(F49," ",G49+1), "")</f>
        <v/>
      </c>
    </row>
    <row r="50" spans="2:11" x14ac:dyDescent="0.35">
      <c r="B50" s="17" t="s">
        <v>16</v>
      </c>
      <c r="C50" s="1" t="str">
        <f>VLOOKUP(B50,Calculator!$A$1:$B$6, 2, FALSE)</f>
        <v>Artificial Intelligence</v>
      </c>
      <c r="E50" s="9" t="s">
        <v>6</v>
      </c>
      <c r="F50" s="23" t="s">
        <v>34</v>
      </c>
      <c r="G50" s="25">
        <v>13</v>
      </c>
      <c r="H50" s="1" t="s">
        <v>43</v>
      </c>
      <c r="I50" s="1" t="s">
        <v>36</v>
      </c>
      <c r="J50" s="26" t="str">
        <f>_xlfn.CONCAT(F50, " ", G50)</f>
        <v>Monday 13</v>
      </c>
      <c r="K50" s="27" t="str">
        <f>IF(I50="2 hours",_xlfn.CONCAT(F50," ",G50+1), "")</f>
        <v>Monday 14</v>
      </c>
    </row>
    <row r="51" spans="2:11" x14ac:dyDescent="0.35">
      <c r="B51" s="17" t="s">
        <v>19</v>
      </c>
      <c r="C51" s="1" t="str">
        <f>VLOOKUP(B51,Calculator!$A$1:$B$6, 2, FALSE)</f>
        <v>Data Science</v>
      </c>
      <c r="E51" s="8" t="s">
        <v>0</v>
      </c>
      <c r="F51" s="23" t="s">
        <v>38</v>
      </c>
      <c r="G51" s="25">
        <v>13</v>
      </c>
      <c r="H51" s="1" t="s">
        <v>43</v>
      </c>
      <c r="I51" s="1" t="s">
        <v>37</v>
      </c>
      <c r="J51" s="26" t="str">
        <f>_xlfn.CONCAT(F51, " ", G51)</f>
        <v>Tuesday 13</v>
      </c>
      <c r="K51" s="27" t="str">
        <f>IF(I51="2 hours",_xlfn.CONCAT(F51," ",G51+1), "")</f>
        <v/>
      </c>
    </row>
    <row r="52" spans="2:11" x14ac:dyDescent="0.35">
      <c r="B52" s="17" t="s">
        <v>19</v>
      </c>
      <c r="C52" s="1" t="str">
        <f>VLOOKUP(B52,Calculator!$A$1:$B$6, 2, FALSE)</f>
        <v>Data Science</v>
      </c>
      <c r="E52" s="9" t="s">
        <v>6</v>
      </c>
      <c r="F52" s="23" t="s">
        <v>39</v>
      </c>
      <c r="G52" s="25">
        <v>13</v>
      </c>
      <c r="H52" s="1" t="s">
        <v>43</v>
      </c>
      <c r="I52" s="1" t="s">
        <v>36</v>
      </c>
      <c r="J52" s="26" t="str">
        <f>_xlfn.CONCAT(F52, " ", G52)</f>
        <v>Wednesday 13</v>
      </c>
      <c r="K52" s="27" t="str">
        <f>IF(I52="2 hours",_xlfn.CONCAT(F52," ",G52+1), "")</f>
        <v>Wednesday 14</v>
      </c>
    </row>
    <row r="53" spans="2:11" x14ac:dyDescent="0.35">
      <c r="B53" s="17" t="s">
        <v>21</v>
      </c>
      <c r="C53" s="1" t="str">
        <f>VLOOKUP(B53,Calculator!$A$1:$B$6, 2, FALSE)</f>
        <v>Software Engineering</v>
      </c>
      <c r="E53" s="8" t="s">
        <v>0</v>
      </c>
      <c r="F53" s="23" t="s">
        <v>40</v>
      </c>
      <c r="G53" s="25">
        <v>13</v>
      </c>
      <c r="H53" s="1" t="s">
        <v>43</v>
      </c>
      <c r="I53" s="1" t="s">
        <v>37</v>
      </c>
      <c r="J53" s="26" t="str">
        <f>_xlfn.CONCAT(F53, " ", G53)</f>
        <v>Thursday 13</v>
      </c>
      <c r="K53" s="27" t="str">
        <f>IF(I53="2 hours",_xlfn.CONCAT(F53," ",G53+1), "")</f>
        <v/>
      </c>
    </row>
    <row r="54" spans="2:11" x14ac:dyDescent="0.35">
      <c r="B54" s="17" t="s">
        <v>21</v>
      </c>
      <c r="C54" s="1" t="str">
        <f>VLOOKUP(B54,Calculator!$A$1:$B$6, 2, FALSE)</f>
        <v>Software Engineering</v>
      </c>
      <c r="E54" s="10" t="s">
        <v>28</v>
      </c>
      <c r="F54" s="23" t="s">
        <v>41</v>
      </c>
      <c r="G54" s="25">
        <v>13</v>
      </c>
      <c r="H54" s="1" t="s">
        <v>43</v>
      </c>
      <c r="I54" s="1" t="s">
        <v>36</v>
      </c>
      <c r="J54" s="26" t="str">
        <f>_xlfn.CONCAT(F54, " ", G54)</f>
        <v>Friday 13</v>
      </c>
      <c r="K54" s="27" t="str">
        <f>IF(I54="2 hours",_xlfn.CONCAT(F54," ",G54+1), "")</f>
        <v>Friday 14</v>
      </c>
    </row>
  </sheetData>
  <mergeCells count="3">
    <mergeCell ref="C14:D14"/>
    <mergeCell ref="C42:D42"/>
    <mergeCell ref="C43:D43"/>
  </mergeCells>
  <phoneticPr fontId="8" type="noConversion"/>
  <conditionalFormatting sqref="C4:K8">
    <cfRule type="cellIs" dxfId="2" priority="1" operator="equal">
      <formula>"Workshop"</formula>
    </cfRule>
    <cfRule type="cellIs" dxfId="1" priority="2" operator="equal">
      <formula>"Practical"</formula>
    </cfRule>
    <cfRule type="cellIs" dxfId="0" priority="3" operator="equal">
      <formula>"Lecture"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F945-5D66-43BD-B0D6-2B4E8AF2D977}">
  <dimension ref="A1:B6"/>
  <sheetViews>
    <sheetView workbookViewId="0">
      <selection activeCell="C11" sqref="C11"/>
    </sheetView>
  </sheetViews>
  <sheetFormatPr defaultRowHeight="14.5" x14ac:dyDescent="0.35"/>
  <cols>
    <col min="1" max="1" width="10" bestFit="1" customWidth="1"/>
    <col min="2" max="2" width="21.36328125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11</v>
      </c>
      <c r="B2" t="s">
        <v>12</v>
      </c>
    </row>
    <row r="3" spans="1:2" x14ac:dyDescent="0.35">
      <c r="A3" t="s">
        <v>14</v>
      </c>
      <c r="B3" t="s">
        <v>15</v>
      </c>
    </row>
    <row r="4" spans="1:2" x14ac:dyDescent="0.35">
      <c r="A4" t="s">
        <v>16</v>
      </c>
      <c r="B4" t="s">
        <v>17</v>
      </c>
    </row>
    <row r="5" spans="1:2" x14ac:dyDescent="0.35">
      <c r="A5" t="s">
        <v>19</v>
      </c>
      <c r="B5" t="s">
        <v>20</v>
      </c>
    </row>
    <row r="6" spans="1:2" x14ac:dyDescent="0.35">
      <c r="A6" t="s">
        <v>21</v>
      </c>
      <c r="B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93CA-5C35-47BC-B022-E4555804D2B2}">
  <dimension ref="B2:H25"/>
  <sheetViews>
    <sheetView workbookViewId="0">
      <selection activeCell="F16" sqref="F16"/>
    </sheetView>
  </sheetViews>
  <sheetFormatPr defaultRowHeight="14.5" x14ac:dyDescent="0.35"/>
  <cols>
    <col min="2" max="2" width="11.1796875" bestFit="1" customWidth="1"/>
    <col min="3" max="3" width="21.54296875" bestFit="1" customWidth="1"/>
    <col min="6" max="6" width="11.1796875" bestFit="1" customWidth="1"/>
    <col min="7" max="7" width="20.54296875" bestFit="1" customWidth="1"/>
  </cols>
  <sheetData>
    <row r="2" spans="2:8" x14ac:dyDescent="0.35">
      <c r="B2" s="4" t="s">
        <v>1</v>
      </c>
      <c r="C2" s="4" t="s">
        <v>2</v>
      </c>
      <c r="F2" s="4" t="s">
        <v>16</v>
      </c>
      <c r="G2" s="4" t="s">
        <v>17</v>
      </c>
    </row>
    <row r="3" spans="2:8" x14ac:dyDescent="0.35">
      <c r="B3" t="s">
        <v>3</v>
      </c>
      <c r="C3" t="s">
        <v>4</v>
      </c>
      <c r="D3" t="s">
        <v>5</v>
      </c>
      <c r="F3" t="s">
        <v>3</v>
      </c>
      <c r="G3" t="s">
        <v>4</v>
      </c>
      <c r="H3" t="s">
        <v>13</v>
      </c>
    </row>
    <row r="4" spans="2:8" x14ac:dyDescent="0.35">
      <c r="C4" t="s">
        <v>25</v>
      </c>
      <c r="D4" t="s">
        <v>5</v>
      </c>
      <c r="G4" t="s">
        <v>25</v>
      </c>
      <c r="H4" t="s">
        <v>5</v>
      </c>
    </row>
    <row r="5" spans="2:8" x14ac:dyDescent="0.35">
      <c r="B5" t="s">
        <v>7</v>
      </c>
      <c r="C5" t="s">
        <v>8</v>
      </c>
      <c r="D5" s="6">
        <v>0.5</v>
      </c>
      <c r="F5" t="s">
        <v>7</v>
      </c>
      <c r="G5" t="s">
        <v>10</v>
      </c>
      <c r="H5" s="6">
        <v>0.5</v>
      </c>
    </row>
    <row r="6" spans="2:8" x14ac:dyDescent="0.35">
      <c r="C6" t="s">
        <v>9</v>
      </c>
      <c r="D6" s="6">
        <v>0.25</v>
      </c>
      <c r="G6" t="s">
        <v>9</v>
      </c>
      <c r="H6" s="6">
        <v>0.25</v>
      </c>
    </row>
    <row r="7" spans="2:8" x14ac:dyDescent="0.35">
      <c r="C7" t="s">
        <v>10</v>
      </c>
      <c r="D7" s="6">
        <v>0.25</v>
      </c>
      <c r="G7" t="s">
        <v>18</v>
      </c>
      <c r="H7" s="6">
        <v>0.25</v>
      </c>
    </row>
    <row r="9" spans="2:8" x14ac:dyDescent="0.35">
      <c r="B9" s="4" t="s">
        <v>11</v>
      </c>
      <c r="C9" s="4" t="s">
        <v>12</v>
      </c>
      <c r="F9" s="4" t="s">
        <v>19</v>
      </c>
      <c r="G9" s="4" t="s">
        <v>20</v>
      </c>
    </row>
    <row r="10" spans="2:8" x14ac:dyDescent="0.35">
      <c r="B10" t="s">
        <v>3</v>
      </c>
      <c r="C10" t="s">
        <v>4</v>
      </c>
      <c r="D10" t="s">
        <v>13</v>
      </c>
      <c r="F10" t="s">
        <v>3</v>
      </c>
      <c r="G10" t="s">
        <v>4</v>
      </c>
      <c r="H10" t="s">
        <v>13</v>
      </c>
    </row>
    <row r="11" spans="2:8" x14ac:dyDescent="0.35">
      <c r="C11" t="s">
        <v>25</v>
      </c>
      <c r="D11" t="s">
        <v>5</v>
      </c>
      <c r="G11" t="s">
        <v>25</v>
      </c>
      <c r="H11" t="s">
        <v>5</v>
      </c>
    </row>
    <row r="12" spans="2:8" x14ac:dyDescent="0.35">
      <c r="B12" t="s">
        <v>7</v>
      </c>
      <c r="C12" t="s">
        <v>8</v>
      </c>
      <c r="D12" s="6">
        <v>0.5</v>
      </c>
      <c r="F12" t="s">
        <v>7</v>
      </c>
      <c r="G12" t="s">
        <v>8</v>
      </c>
      <c r="H12" s="6">
        <v>0.5</v>
      </c>
    </row>
    <row r="13" spans="2:8" x14ac:dyDescent="0.35">
      <c r="C13" t="s">
        <v>9</v>
      </c>
      <c r="D13" s="6">
        <v>0.5</v>
      </c>
      <c r="G13" t="s">
        <v>27</v>
      </c>
      <c r="H13" s="6">
        <v>0.25</v>
      </c>
    </row>
    <row r="14" spans="2:8" x14ac:dyDescent="0.35">
      <c r="D14" s="5"/>
      <c r="G14" t="s">
        <v>9</v>
      </c>
      <c r="H14" s="6">
        <v>0.25</v>
      </c>
    </row>
    <row r="16" spans="2:8" x14ac:dyDescent="0.35">
      <c r="B16" s="4" t="s">
        <v>14</v>
      </c>
      <c r="C16" s="4" t="s">
        <v>15</v>
      </c>
      <c r="F16" s="4" t="s">
        <v>21</v>
      </c>
      <c r="G16" s="4" t="s">
        <v>22</v>
      </c>
    </row>
    <row r="17" spans="2:8" x14ac:dyDescent="0.35">
      <c r="B17" t="s">
        <v>3</v>
      </c>
      <c r="C17" t="s">
        <v>4</v>
      </c>
      <c r="D17" t="s">
        <v>13</v>
      </c>
      <c r="F17" t="s">
        <v>3</v>
      </c>
      <c r="G17" t="s">
        <v>4</v>
      </c>
      <c r="H17" t="s">
        <v>13</v>
      </c>
    </row>
    <row r="18" spans="2:8" x14ac:dyDescent="0.35">
      <c r="C18" t="s">
        <v>26</v>
      </c>
      <c r="D18" t="s">
        <v>5</v>
      </c>
      <c r="G18" t="s">
        <v>28</v>
      </c>
      <c r="H18" t="s">
        <v>5</v>
      </c>
    </row>
    <row r="19" spans="2:8" x14ac:dyDescent="0.35">
      <c r="B19" t="s">
        <v>7</v>
      </c>
      <c r="C19" t="s">
        <v>8</v>
      </c>
      <c r="D19" s="6">
        <v>0.66</v>
      </c>
      <c r="F19" t="s">
        <v>7</v>
      </c>
      <c r="G19" t="s">
        <v>23</v>
      </c>
      <c r="H19" s="6">
        <v>0.05</v>
      </c>
    </row>
    <row r="20" spans="2:8" x14ac:dyDescent="0.35">
      <c r="C20" t="s">
        <v>27</v>
      </c>
      <c r="D20" s="6">
        <f>0.33/2</f>
        <v>0.16500000000000001</v>
      </c>
      <c r="G20" t="s">
        <v>10</v>
      </c>
      <c r="H20" s="6">
        <v>0.15</v>
      </c>
    </row>
    <row r="21" spans="2:8" x14ac:dyDescent="0.35">
      <c r="C21" t="s">
        <v>27</v>
      </c>
      <c r="D21" s="6">
        <f>0.33/2</f>
        <v>0.16500000000000001</v>
      </c>
      <c r="G21" t="s">
        <v>10</v>
      </c>
      <c r="H21" s="6">
        <v>0.3</v>
      </c>
    </row>
    <row r="22" spans="2:8" x14ac:dyDescent="0.35">
      <c r="G22" t="s">
        <v>18</v>
      </c>
      <c r="H22" s="6">
        <v>0.15</v>
      </c>
    </row>
    <row r="23" spans="2:8" x14ac:dyDescent="0.35">
      <c r="G23" t="s">
        <v>10</v>
      </c>
      <c r="H23" s="6">
        <v>0.2</v>
      </c>
    </row>
    <row r="24" spans="2:8" x14ac:dyDescent="0.35">
      <c r="G24" t="s">
        <v>9</v>
      </c>
      <c r="H24" s="6">
        <v>0.05</v>
      </c>
    </row>
    <row r="25" spans="2:8" x14ac:dyDescent="0.35">
      <c r="G25" t="s">
        <v>24</v>
      </c>
      <c r="H25" s="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Attendence</vt:lpstr>
      <vt:lpstr>Calculator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EMERSON, MATTHEW J. (Student)</cp:lastModifiedBy>
  <dcterms:created xsi:type="dcterms:W3CDTF">2015-06-05T18:17:20Z</dcterms:created>
  <dcterms:modified xsi:type="dcterms:W3CDTF">2026-05-12T17:58:59Z</dcterms:modified>
</cp:coreProperties>
</file>