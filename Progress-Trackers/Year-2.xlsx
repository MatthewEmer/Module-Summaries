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sus\Documents\GitHub\Module-Summaries\Progress-Trackers\"/>
    </mc:Choice>
  </mc:AlternateContent>
  <xr:revisionPtr revIDLastSave="0" documentId="13_ncr:1_{88D64D97-62D5-457B-A24B-8B7C156E20D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Timetable" sheetId="1" r:id="rId1"/>
    <sheet name="Calculator" sheetId="3" r:id="rId2"/>
    <sheet name="Not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B14" i="1" s="1" a="1"/>
  <c r="B14" i="1" s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28" i="1"/>
  <c r="K28" i="1"/>
  <c r="L2" i="3" s="1" a="1"/>
  <c r="L2" i="3" s="1"/>
  <c r="K5" i="1" s="1"/>
  <c r="C29" i="1"/>
  <c r="C30" i="1"/>
  <c r="C31" i="1"/>
  <c r="C32" i="1"/>
  <c r="C33" i="1"/>
  <c r="C34" i="1"/>
  <c r="C35" i="1"/>
  <c r="C36" i="1"/>
  <c r="C37" i="1"/>
  <c r="C38" i="1"/>
  <c r="C39" i="1"/>
  <c r="C28" i="1"/>
  <c r="D21" i="2"/>
  <c r="D20" i="2"/>
  <c r="L4" i="3" l="1" a="1"/>
  <c r="L4" i="3" s="1"/>
  <c r="K7" i="1" s="1"/>
  <c r="L3" i="3" a="1"/>
  <c r="L3" i="3" s="1"/>
  <c r="K3" i="3" s="1" a="1"/>
  <c r="K3" i="3" s="1"/>
  <c r="J3" i="3" s="1" a="1"/>
  <c r="J3" i="3" s="1"/>
  <c r="I3" i="3" s="1" a="1"/>
  <c r="I3" i="3" s="1"/>
  <c r="H3" i="3" s="1" a="1"/>
  <c r="H3" i="3" s="1"/>
  <c r="G3" i="3" s="1" a="1"/>
  <c r="G3" i="3" s="1"/>
  <c r="F3" i="3" s="1" a="1"/>
  <c r="F3" i="3" s="1"/>
  <c r="E3" i="3" s="1" a="1"/>
  <c r="E3" i="3" s="1"/>
  <c r="D3" i="3" s="1" a="1"/>
  <c r="D3" i="3" s="1"/>
  <c r="L1" i="3" a="1"/>
  <c r="L1" i="3" s="1"/>
  <c r="K1" i="3" s="1" a="1"/>
  <c r="K1" i="3" s="1"/>
  <c r="J1" i="3" s="1" a="1"/>
  <c r="J1" i="3" s="1"/>
  <c r="L5" i="3" a="1"/>
  <c r="L5" i="3" s="1"/>
  <c r="K5" i="3" s="1" a="1"/>
  <c r="K5" i="3" s="1"/>
  <c r="J5" i="3" s="1" a="1"/>
  <c r="J5" i="3" s="1"/>
  <c r="I5" i="3" s="1" a="1"/>
  <c r="I5" i="3" s="1"/>
  <c r="H5" i="3" s="1" a="1"/>
  <c r="H5" i="3" s="1"/>
  <c r="G5" i="3" s="1" a="1"/>
  <c r="G5" i="3" s="1"/>
  <c r="F5" i="3" s="1" a="1"/>
  <c r="F5" i="3" s="1"/>
  <c r="E5" i="3" s="1" a="1"/>
  <c r="E5" i="3" s="1"/>
  <c r="D5" i="3" s="1" a="1"/>
  <c r="D5" i="3" s="1"/>
  <c r="K2" i="3" a="1"/>
  <c r="K2" i="3" s="1"/>
  <c r="F14" i="1" a="1"/>
  <c r="E14" i="1" a="1"/>
  <c r="E14" i="1" s="1"/>
  <c r="K4" i="3" l="1" a="1"/>
  <c r="K4" i="3" s="1"/>
  <c r="J4" i="3" s="1" a="1"/>
  <c r="J4" i="3" s="1"/>
  <c r="I4" i="3" s="1" a="1"/>
  <c r="I4" i="3" s="1"/>
  <c r="H4" i="3" s="1" a="1"/>
  <c r="H4" i="3" s="1"/>
  <c r="G4" i="3" s="1" a="1"/>
  <c r="G4" i="3" s="1"/>
  <c r="F4" i="3" s="1" a="1"/>
  <c r="F4" i="3" s="1"/>
  <c r="E4" i="3" s="1" a="1"/>
  <c r="E4" i="3" s="1"/>
  <c r="D4" i="3" s="1" a="1"/>
  <c r="D4" i="3" s="1"/>
  <c r="K6" i="1"/>
  <c r="J4" i="1"/>
  <c r="K4" i="1"/>
  <c r="K8" i="1"/>
  <c r="J5" i="1"/>
  <c r="J2" i="3" a="1"/>
  <c r="J2" i="3" s="1"/>
  <c r="I4" i="1"/>
  <c r="I1" i="3" a="1"/>
  <c r="I1" i="3" s="1"/>
  <c r="J8" i="1"/>
  <c r="J6" i="1"/>
  <c r="F14" i="1"/>
  <c r="J7" i="1" l="1"/>
  <c r="I2" i="3" a="1"/>
  <c r="I2" i="3" s="1"/>
  <c r="I5" i="1"/>
  <c r="H4" i="1"/>
  <c r="H1" i="3" a="1"/>
  <c r="H1" i="3" s="1"/>
  <c r="I8" i="1"/>
  <c r="I6" i="1"/>
  <c r="I7" i="1"/>
  <c r="H2" i="3" l="1" a="1"/>
  <c r="H2" i="3" s="1"/>
  <c r="H5" i="1"/>
  <c r="G4" i="1"/>
  <c r="G1" i="3" a="1"/>
  <c r="G1" i="3" s="1"/>
  <c r="H7" i="1"/>
  <c r="H6" i="1"/>
  <c r="H8" i="1"/>
  <c r="G5" i="1" l="1"/>
  <c r="G2" i="3" a="1"/>
  <c r="G2" i="3" s="1"/>
  <c r="F4" i="1"/>
  <c r="F1" i="3" a="1"/>
  <c r="F1" i="3" s="1"/>
  <c r="G8" i="1"/>
  <c r="G6" i="1"/>
  <c r="G7" i="1"/>
  <c r="F2" i="3" l="1" a="1"/>
  <c r="F2" i="3" s="1"/>
  <c r="F5" i="1"/>
  <c r="E1" i="3" a="1"/>
  <c r="E1" i="3" s="1"/>
  <c r="E4" i="1"/>
  <c r="F7" i="1"/>
  <c r="F6" i="1"/>
  <c r="F8" i="1"/>
  <c r="E2" i="3" l="1" a="1"/>
  <c r="E2" i="3" s="1"/>
  <c r="E5" i="1"/>
  <c r="D4" i="1"/>
  <c r="D1" i="3" a="1"/>
  <c r="D1" i="3" s="1"/>
  <c r="C4" i="1" s="1"/>
  <c r="E8" i="1"/>
  <c r="E7" i="1"/>
  <c r="E6" i="1"/>
  <c r="D5" i="1" l="1"/>
  <c r="D2" i="3" a="1"/>
  <c r="D2" i="3" s="1"/>
  <c r="C5" i="1" s="1"/>
  <c r="C7" i="1"/>
  <c r="D7" i="1"/>
  <c r="C8" i="1"/>
  <c r="D8" i="1"/>
  <c r="C6" i="1"/>
  <c r="D6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<sst xmlns="http://schemas.openxmlformats.org/spreadsheetml/2006/main" count="161" uniqueCount="47">
  <si>
    <t>Lecture</t>
  </si>
  <si>
    <t>COMP2211</t>
  </si>
  <si>
    <t>Networks and Systems</t>
  </si>
  <si>
    <t>Teaching:</t>
  </si>
  <si>
    <t>Lectures</t>
  </si>
  <si>
    <t>1x2hr</t>
  </si>
  <si>
    <t>Practical</t>
  </si>
  <si>
    <t>Assessment:</t>
  </si>
  <si>
    <t>Final Exam</t>
  </si>
  <si>
    <t>Assignment</t>
  </si>
  <si>
    <t>Report</t>
  </si>
  <si>
    <t>COMP2221</t>
  </si>
  <si>
    <t>Programming Paradigms</t>
  </si>
  <si>
    <t>2x1hr</t>
  </si>
  <si>
    <t>COMP2181</t>
  </si>
  <si>
    <t>Theory of Computation</t>
  </si>
  <si>
    <t>COMP2261</t>
  </si>
  <si>
    <t>Artificial Intelligence</t>
  </si>
  <si>
    <t>Presentation</t>
  </si>
  <si>
    <t>COMP2271</t>
  </si>
  <si>
    <t>Data Science</t>
  </si>
  <si>
    <t>COMP2281</t>
  </si>
  <si>
    <t>Software Engineering</t>
  </si>
  <si>
    <t>Review</t>
  </si>
  <si>
    <t>Supervisor Review</t>
  </si>
  <si>
    <t>Computer Class</t>
  </si>
  <si>
    <t>Problem Class</t>
  </si>
  <si>
    <t>General Test</t>
  </si>
  <si>
    <t>Workshop</t>
  </si>
  <si>
    <t>Day</t>
  </si>
  <si>
    <t>Module Code</t>
  </si>
  <si>
    <t>Class Type</t>
  </si>
  <si>
    <t>Time</t>
  </si>
  <si>
    <t>Module Name</t>
  </si>
  <si>
    <t>Monday</t>
  </si>
  <si>
    <t>Duration</t>
  </si>
  <si>
    <t>2 hours</t>
  </si>
  <si>
    <t>1 hour</t>
  </si>
  <si>
    <t>Tuesday</t>
  </si>
  <si>
    <t>Wednesday</t>
  </si>
  <si>
    <t>Thursday</t>
  </si>
  <si>
    <t>Friday</t>
  </si>
  <si>
    <t>Location</t>
  </si>
  <si>
    <t>Room</t>
  </si>
  <si>
    <t>Today's Timetable</t>
  </si>
  <si>
    <t>All Contact Hours</t>
  </si>
  <si>
    <t>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</si>
</sst>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 tint="0.14999847407452621"/>
      <name val="Calibri"/>
      <family val="2"/>
      <scheme val="minor"/>
    </font>
    <font>
      <sz val="18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10">
    <border>
      <left/>
      <right/>
      <top/>
      <bottom/>
      <diagonal/>
    </border>
    <border>
      <left style="medium">
        <color theme="2" tint="-0.499984740745262"/>
      </left>
      <right/>
      <top style="medium">
        <color theme="2" tint="-0.499984740745262"/>
      </top>
      <bottom/>
      <diagonal/>
    </border>
    <border>
      <left/>
      <right/>
      <top style="medium">
        <color theme="2" tint="-0.499984740745262"/>
      </top>
      <bottom/>
      <diagonal/>
    </border>
    <border>
      <left/>
      <right style="medium">
        <color theme="2" tint="-0.499984740745262"/>
      </right>
      <top style="medium">
        <color theme="2" tint="-0.499984740745262"/>
      </top>
      <bottom/>
      <diagonal/>
    </border>
    <border>
      <left style="medium">
        <color theme="2" tint="-0.499984740745262"/>
      </left>
      <right/>
      <top/>
      <bottom/>
      <diagonal/>
    </border>
    <border>
      <left/>
      <right style="medium">
        <color theme="2" tint="-0.499984740745262"/>
      </right>
      <top/>
      <bottom/>
      <diagonal/>
    </border>
    <border>
      <left style="medium">
        <color theme="2" tint="-0.499984740745262"/>
      </left>
      <right/>
      <top/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/>
      <right style="medium">
        <color theme="2" tint="-0.499984740745262"/>
      </right>
      <top/>
      <bottom style="medium">
        <color theme="2" tint="-0.499984740745262"/>
      </bottom>
      <diagonal/>
    </border>
    <border>
      <left style="thick">
        <color theme="1" tint="0.14999847407452621"/>
      </left>
      <right style="thick">
        <color theme="1" tint="0.14999847407452621"/>
      </right>
      <top style="thick">
        <color theme="1" tint="0.14999847407452621"/>
      </top>
      <bottom style="thick">
        <color theme="1" tint="0.149998474074526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4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9" fontId="0" fillId="0" borderId="0" xfId="0" applyNumberFormat="1"/>
    <xf numFmtId="9" fontId="0" fillId="0" borderId="0" xfId="1" applyFont="1"/>
    <xf numFmtId="0" fontId="4" fillId="2" borderId="2" xfId="0" applyFont="1" applyFill="1" applyBorder="1"/>
    <xf numFmtId="0" fontId="4" fillId="2" borderId="3" xfId="0" applyFont="1" applyFill="1" applyBorder="1"/>
    <xf numFmtId="0" fontId="4" fillId="2" borderId="5" xfId="0" applyFont="1" applyFill="1" applyBorder="1"/>
    <xf numFmtId="0" fontId="4" fillId="2" borderId="7" xfId="0" applyFont="1" applyFill="1" applyBorder="1"/>
    <xf numFmtId="0" fontId="4" fillId="2" borderId="8" xfId="0" applyFont="1" applyFill="1" applyBorder="1"/>
    <xf numFmtId="0" fontId="2" fillId="2" borderId="4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2" borderId="0" xfId="0" applyFont="1" applyFill="1" applyAlignment="1">
      <alignment horizontal="left"/>
    </xf>
    <xf numFmtId="2" fontId="2" fillId="2" borderId="0" xfId="0" applyNumberFormat="1" applyFont="1" applyFill="1" applyAlignment="1">
      <alignment horizontal="center"/>
    </xf>
    <xf numFmtId="2" fontId="4" fillId="2" borderId="0" xfId="0" applyNumberFormat="1" applyFont="1" applyFill="1" applyAlignment="1">
      <alignment horizontal="left"/>
    </xf>
    <xf numFmtId="0" fontId="6" fillId="2" borderId="0" xfId="0" applyFont="1" applyFill="1"/>
    <xf numFmtId="0" fontId="4" fillId="2" borderId="9" xfId="0" applyFont="1" applyFill="1" applyBorder="1"/>
    <xf numFmtId="0" fontId="7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4" fillId="2" borderId="0" xfId="0" applyFont="1" applyFill="1"/>
    <xf numFmtId="0" fontId="4" fillId="2" borderId="0" xfId="0" applyNumberFormat="1" applyFont="1" applyFill="1"/>
    <xf numFmtId="2" fontId="4" fillId="2" borderId="0" xfId="0" applyNumberFormat="1" applyFont="1" applyFill="1"/>
    <xf numFmtId="2" fontId="4" fillId="2" borderId="2" xfId="0" applyNumberFormat="1" applyFont="1" applyFill="1" applyBorder="1"/>
    <xf numFmtId="2" fontId="4" fillId="2" borderId="7" xfId="0" applyNumberFormat="1" applyFont="1" applyFill="1" applyBorder="1"/>
    <xf numFmtId="0" fontId="2" fillId="2" borderId="0" xfId="0" applyNumberFormat="1" applyFont="1" applyFill="1" applyAlignment="1">
      <alignment horizontal="center"/>
    </xf>
    <xf numFmtId="0" fontId="2" fillId="2" borderId="4" xfId="0" applyFont="1" applyFill="1" applyBorder="1" applyAlignment="1">
      <alignment horizontal="right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2" fontId="2" fillId="2" borderId="0" xfId="0" applyNumberFormat="1" applyFont="1" applyFill="1" applyAlignment="1">
      <alignment horizontal="left"/>
    </xf>
    <xf numFmtId="2" fontId="4" fillId="2" borderId="0" xfId="0" applyNumberFormat="1" applyFont="1" applyFill="1" applyAlignment="1">
      <alignment horizontal="center"/>
    </xf>
    <xf numFmtId="0" fontId="4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left"/>
    </xf>
    <xf numFmtId="20" fontId="4" fillId="2" borderId="0" xfId="0" applyNumberFormat="1" applyFont="1" applyFill="1"/>
  </cellXfs>
  <cellStyles count="2">
    <cellStyle name="Normal" xfId="0" builtinId="0"/>
    <cellStyle name="Per cent" xfId="1" builtinId="5"/>
  </cellStyles>
  <dxfs count="56">
    <dxf>
      <font>
        <color rgb="FFCCFF99"/>
      </font>
    </dxf>
    <dxf>
      <font>
        <color rgb="FFFFCC66"/>
      </font>
    </dxf>
    <dxf>
      <font>
        <color rgb="FFFF7C80"/>
      </font>
    </dxf>
    <dxf>
      <font>
        <color rgb="FFCCFF66"/>
      </font>
      <fill>
        <patternFill>
          <bgColor rgb="FFCCFF99"/>
        </patternFill>
      </fill>
      <border>
        <left/>
      </border>
    </dxf>
    <dxf>
      <font>
        <color rgb="FFFFCC66"/>
      </font>
      <fill>
        <patternFill>
          <bgColor rgb="FFFFCC66"/>
        </patternFill>
      </fill>
      <border>
        <left/>
      </border>
    </dxf>
    <dxf>
      <font>
        <color rgb="FFFF7C80"/>
      </font>
      <fill>
        <patternFill>
          <bgColor rgb="FFFF7C80"/>
        </patternFill>
      </fill>
      <border>
        <left/>
      </border>
    </dxf>
    <dxf>
      <font>
        <color rgb="FFFF7C80"/>
      </font>
      <fill>
        <patternFill>
          <bgColor rgb="FFFF7C80"/>
        </patternFill>
      </fill>
      <border>
        <right/>
      </border>
    </dxf>
    <dxf>
      <font>
        <color theme="1" tint="0.14996795556505021"/>
      </font>
    </dxf>
    <dxf>
      <font>
        <color rgb="FFCCFF66"/>
      </font>
      <fill>
        <patternFill>
          <bgColor rgb="FFCCFF99"/>
        </patternFill>
      </fill>
      <border>
        <right/>
      </border>
    </dxf>
    <dxf>
      <font>
        <color rgb="FFFFCC66"/>
      </font>
      <fill>
        <patternFill>
          <bgColor rgb="FFFFCC66"/>
        </patternFill>
      </fill>
      <border>
        <right/>
      </border>
    </dxf>
    <dxf>
      <font>
        <color rgb="FFFFCC66"/>
      </font>
      <fill>
        <patternFill>
          <bgColor rgb="FFFFCC66"/>
        </patternFill>
      </fill>
    </dxf>
    <dxf>
      <font>
        <color rgb="FFCCFF66"/>
      </font>
      <fill>
        <patternFill>
          <bgColor rgb="FFCCFF99"/>
        </patternFill>
      </fill>
    </dxf>
    <dxf>
      <font>
        <color rgb="FFFF7C80"/>
      </font>
      <fill>
        <patternFill>
          <bgColor rgb="FFFF7C80"/>
        </patternFill>
      </fill>
    </dxf>
    <dxf>
      <font>
        <color rgb="FFCCFF99"/>
      </font>
    </dxf>
    <dxf>
      <font>
        <color rgb="FFFFCC66"/>
      </font>
    </dxf>
    <dxf>
      <font>
        <color rgb="FFFF7C80"/>
      </font>
    </dxf>
    <dxf>
      <font>
        <color rgb="FFFFCC66"/>
      </font>
      <fill>
        <patternFill>
          <bgColor rgb="FFFFCC66"/>
        </patternFill>
      </fill>
      <border>
        <right/>
      </border>
    </dxf>
    <dxf>
      <font>
        <color rgb="FFCCFF66"/>
      </font>
      <fill>
        <patternFill>
          <bgColor rgb="FFCCFF99"/>
        </patternFill>
      </fill>
      <border>
        <right/>
      </border>
    </dxf>
    <dxf>
      <font>
        <color theme="1" tint="0.14996795556505021"/>
      </font>
    </dxf>
    <dxf>
      <font>
        <color rgb="FFCCFF66"/>
      </font>
      <fill>
        <patternFill>
          <bgColor rgb="FFCCFF99"/>
        </patternFill>
      </fill>
      <border>
        <left/>
      </border>
    </dxf>
    <dxf>
      <font>
        <color rgb="FFFFCC66"/>
      </font>
      <fill>
        <patternFill>
          <bgColor rgb="FFFFCC66"/>
        </patternFill>
      </fill>
      <border>
        <left/>
      </border>
    </dxf>
    <dxf>
      <font>
        <color rgb="FFFF7C80"/>
      </font>
      <fill>
        <patternFill>
          <bgColor rgb="FFFF7C80"/>
        </patternFill>
      </fill>
      <border>
        <left/>
      </border>
    </dxf>
    <dxf>
      <font>
        <color rgb="FFFF7C80"/>
      </font>
      <fill>
        <patternFill>
          <bgColor rgb="FFFF7C80"/>
        </patternFill>
      </fill>
      <border>
        <right/>
      </border>
    </dxf>
    <dxf>
      <font>
        <color rgb="FFCCFF99"/>
      </font>
    </dxf>
    <dxf>
      <font>
        <color rgb="FFFFCC66"/>
      </font>
    </dxf>
    <dxf>
      <font>
        <color rgb="FFFF7C80"/>
      </font>
    </dxf>
    <dxf>
      <font>
        <color theme="1" tint="0.14996795556505021"/>
      </font>
    </dxf>
    <dxf>
      <font>
        <color rgb="FFCCFF66"/>
      </font>
      <fill>
        <patternFill>
          <bgColor rgb="FFCCFF99"/>
        </patternFill>
      </fill>
    </dxf>
    <dxf>
      <font>
        <color rgb="FFFFCC66"/>
      </font>
      <fill>
        <patternFill>
          <bgColor rgb="FFFFCC66"/>
        </patternFill>
      </fill>
    </dxf>
    <dxf>
      <font>
        <color rgb="FFFF7C80"/>
      </font>
      <fill>
        <patternFill>
          <bgColor rgb="FFFF7C80"/>
        </patternFill>
      </fill>
      <border>
        <left/>
      </border>
    </dxf>
    <dxf>
      <font>
        <color rgb="FFFF7C80"/>
      </font>
      <fill>
        <patternFill>
          <bgColor rgb="FFFF7C80"/>
        </patternFill>
      </fill>
      <border>
        <right/>
      </border>
    </dxf>
    <dxf>
      <font>
        <color rgb="FFCCFF99"/>
      </font>
    </dxf>
    <dxf>
      <font>
        <color rgb="FFFFCC66"/>
      </font>
    </dxf>
    <dxf>
      <font>
        <color rgb="FFFF7C80"/>
      </font>
    </dxf>
    <dxf>
      <font>
        <color theme="2" tint="-0.749961851863155"/>
      </font>
    </dxf>
    <dxf>
      <font>
        <color rgb="FFCCFF66"/>
      </font>
      <fill>
        <patternFill>
          <bgColor rgb="FFCCFF99"/>
        </patternFill>
      </fill>
    </dxf>
    <dxf>
      <font>
        <color rgb="FFFFCC66"/>
      </font>
      <fill>
        <patternFill>
          <bgColor rgb="FFFFCC66"/>
        </patternFill>
      </fill>
    </dxf>
    <dxf>
      <font>
        <color rgb="FFFF7C80"/>
      </font>
      <fill>
        <patternFill>
          <bgColor rgb="FFFF7C80"/>
        </patternFill>
      </fill>
      <border>
        <left/>
      </border>
    </dxf>
    <dxf>
      <font>
        <color rgb="FFFF7C80"/>
      </font>
      <fill>
        <patternFill>
          <bgColor rgb="FFFF7C80"/>
        </patternFill>
      </fill>
      <border>
        <right/>
      </border>
    </dxf>
    <dxf>
      <font>
        <color rgb="FFCCFF66"/>
      </font>
      <fill>
        <patternFill>
          <bgColor rgb="FFCCFF99"/>
        </patternFill>
      </fill>
    </dxf>
    <dxf>
      <font>
        <color rgb="FFFFCC66"/>
      </font>
      <fill>
        <patternFill>
          <bgColor rgb="FFFFCC66"/>
        </patternFill>
      </fill>
    </dxf>
    <dxf>
      <font>
        <color rgb="FFFF7C80"/>
      </font>
      <fill>
        <patternFill>
          <bgColor rgb="FFFF7C80"/>
        </patternFill>
      </fill>
      <border>
        <left/>
      </border>
    </dxf>
    <dxf>
      <font>
        <color rgb="FFFF7C80"/>
      </font>
      <fill>
        <patternFill>
          <bgColor rgb="FFFF7C80"/>
        </patternFill>
      </fill>
      <border>
        <right/>
      </border>
    </dxf>
    <dxf>
      <font>
        <color rgb="FFCCFF99"/>
      </font>
    </dxf>
    <dxf>
      <font>
        <color rgb="FFFFCC66"/>
      </font>
    </dxf>
    <dxf>
      <font>
        <color rgb="FFFF7C80"/>
      </font>
    </dxf>
    <dxf>
      <font>
        <color rgb="FFFF7C80"/>
      </font>
      <fill>
        <patternFill>
          <bgColor rgb="FFFF7C80"/>
        </patternFill>
      </fill>
      <border>
        <right/>
      </border>
    </dxf>
    <dxf>
      <font>
        <color rgb="FFCCFF66"/>
      </font>
      <fill>
        <patternFill>
          <bgColor rgb="FFCCFF99"/>
        </patternFill>
      </fill>
    </dxf>
    <dxf>
      <font>
        <color rgb="FFFFCC66"/>
      </font>
      <fill>
        <patternFill>
          <bgColor rgb="FFFFCC66"/>
        </patternFill>
      </fill>
    </dxf>
    <dxf>
      <font>
        <color rgb="FFFF7C80"/>
      </font>
      <fill>
        <patternFill>
          <bgColor rgb="FFFF7C80"/>
        </patternFill>
      </fill>
    </dxf>
    <dxf>
      <font>
        <color rgb="FFCCFF99"/>
      </font>
    </dxf>
    <dxf>
      <font>
        <color rgb="FFFFCC66"/>
      </font>
    </dxf>
    <dxf>
      <font>
        <color rgb="FFFF7C80"/>
      </font>
    </dxf>
    <dxf>
      <font>
        <color rgb="FFCCFF66"/>
      </font>
      <fill>
        <patternFill>
          <bgColor rgb="FFCCFF99"/>
        </patternFill>
      </fill>
    </dxf>
    <dxf>
      <font>
        <color rgb="FFFFCC66"/>
      </font>
      <fill>
        <patternFill>
          <bgColor rgb="FFFFCC66"/>
        </patternFill>
      </fill>
    </dxf>
    <dxf>
      <font>
        <color rgb="FFFF7C80"/>
      </font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FF7C80"/>
      <color rgb="FFFFCC66"/>
      <color rgb="FFCCFF99"/>
      <color rgb="FFCCFF66"/>
      <color rgb="FFFFFF99"/>
      <color rgb="FFCC99FF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59"/>
  <sheetViews>
    <sheetView tabSelected="1" workbookViewId="0">
      <selection activeCell="J20" sqref="J20"/>
    </sheetView>
  </sheetViews>
  <sheetFormatPr defaultRowHeight="14.5" x14ac:dyDescent="0.35"/>
  <cols>
    <col min="1" max="1" width="8.7265625" style="1" customWidth="1"/>
    <col min="2" max="2" width="12" style="12" bestFit="1" customWidth="1"/>
    <col min="3" max="5" width="14.6328125" style="1" customWidth="1"/>
    <col min="6" max="6" width="14.6328125" style="24" customWidth="1"/>
    <col min="7" max="11" width="14.6328125" style="1" customWidth="1"/>
    <col min="12" max="12" width="3.1796875" style="1" customWidth="1"/>
    <col min="13" max="16384" width="8.7265625" style="1"/>
  </cols>
  <sheetData>
    <row r="1" spans="2:12" ht="15" thickBot="1" x14ac:dyDescent="0.4"/>
    <row r="2" spans="2:12" x14ac:dyDescent="0.35">
      <c r="B2" s="13"/>
      <c r="C2" s="6"/>
      <c r="D2" s="6"/>
      <c r="E2" s="6"/>
      <c r="F2" s="25"/>
      <c r="G2" s="6"/>
      <c r="H2" s="6"/>
      <c r="I2" s="6"/>
      <c r="J2" s="6"/>
      <c r="K2" s="6"/>
      <c r="L2" s="7"/>
    </row>
    <row r="3" spans="2:12" ht="15" thickBot="1" x14ac:dyDescent="0.4">
      <c r="B3" s="11"/>
      <c r="C3" s="16">
        <v>9</v>
      </c>
      <c r="D3" s="16">
        <v>10</v>
      </c>
      <c r="E3" s="16">
        <v>11</v>
      </c>
      <c r="F3" s="16">
        <v>12</v>
      </c>
      <c r="G3" s="16">
        <v>13</v>
      </c>
      <c r="H3" s="16">
        <v>14</v>
      </c>
      <c r="I3" s="16">
        <v>15</v>
      </c>
      <c r="J3" s="16">
        <v>16</v>
      </c>
      <c r="K3" s="16">
        <v>17</v>
      </c>
      <c r="L3" s="8"/>
    </row>
    <row r="4" spans="2:12" ht="15.5" thickTop="1" thickBot="1" x14ac:dyDescent="0.4">
      <c r="B4" s="28" t="s">
        <v>34</v>
      </c>
      <c r="C4" s="19" t="str">
        <f>Calculator!D1</f>
        <v>Lecture Part 1</v>
      </c>
      <c r="D4" s="19" t="str">
        <f>Calculator!E1</f>
        <v>Lecture Part 2</v>
      </c>
      <c r="E4" s="19" t="str">
        <f>Calculator!F1</f>
        <v>None</v>
      </c>
      <c r="F4" s="19" t="str">
        <f>Calculator!G1</f>
        <v>Lecture</v>
      </c>
      <c r="G4" s="19" t="str">
        <f>Calculator!H1</f>
        <v>None</v>
      </c>
      <c r="H4" s="19" t="str">
        <f>Calculator!I1</f>
        <v>None</v>
      </c>
      <c r="I4" s="19" t="str">
        <f>Calculator!J1</f>
        <v>None</v>
      </c>
      <c r="J4" s="19" t="str">
        <f>Calculator!K1</f>
        <v>Practical Part 1</v>
      </c>
      <c r="K4" s="19" t="str">
        <f>Calculator!L1</f>
        <v>Practical Part 2</v>
      </c>
      <c r="L4" s="8"/>
    </row>
    <row r="5" spans="2:12" ht="15.5" thickTop="1" thickBot="1" x14ac:dyDescent="0.4">
      <c r="B5" s="28" t="s">
        <v>38</v>
      </c>
      <c r="C5" s="19" t="str">
        <f>Calculator!D2</f>
        <v>Practical Part 1</v>
      </c>
      <c r="D5" s="19" t="str">
        <f>Calculator!E2</f>
        <v>Practical Part 2</v>
      </c>
      <c r="E5" s="19" t="str">
        <f>Calculator!F2</f>
        <v>Practical Part 1</v>
      </c>
      <c r="F5" s="19" t="str">
        <f>Calculator!G2</f>
        <v>Practical Part 2</v>
      </c>
      <c r="G5" s="19" t="str">
        <f>Calculator!H2</f>
        <v>None</v>
      </c>
      <c r="H5" s="19" t="str">
        <f>Calculator!I2</f>
        <v>None</v>
      </c>
      <c r="I5" s="19" t="str">
        <f>Calculator!J2</f>
        <v>Practical Part 1</v>
      </c>
      <c r="J5" s="19" t="str">
        <f>Calculator!K2</f>
        <v>Practical Part 2</v>
      </c>
      <c r="K5" s="19" t="str">
        <f>Calculator!L2</f>
        <v>None</v>
      </c>
      <c r="L5" s="8"/>
    </row>
    <row r="6" spans="2:12" ht="15.5" thickTop="1" thickBot="1" x14ac:dyDescent="0.4">
      <c r="B6" s="28" t="s">
        <v>39</v>
      </c>
      <c r="C6" s="19" t="str">
        <f>Calculator!D3</f>
        <v>Workshop Part 1</v>
      </c>
      <c r="D6" s="19" t="str">
        <f>Calculator!E3</f>
        <v>Workshop Part 2</v>
      </c>
      <c r="E6" s="19" t="str">
        <f>Calculator!F3</f>
        <v>None</v>
      </c>
      <c r="F6" s="19" t="str">
        <f>Calculator!G3</f>
        <v>None</v>
      </c>
      <c r="G6" s="19" t="str">
        <f>Calculator!H3</f>
        <v>None</v>
      </c>
      <c r="H6" s="19" t="str">
        <f>Calculator!I3</f>
        <v>None</v>
      </c>
      <c r="I6" s="19" t="str">
        <f>Calculator!J3</f>
        <v>None</v>
      </c>
      <c r="J6" s="19" t="str">
        <f>Calculator!K3</f>
        <v>None</v>
      </c>
      <c r="K6" s="19" t="str">
        <f>Calculator!L3</f>
        <v>None</v>
      </c>
      <c r="L6" s="8"/>
    </row>
    <row r="7" spans="2:12" ht="15.5" thickTop="1" thickBot="1" x14ac:dyDescent="0.4">
      <c r="B7" s="28" t="s">
        <v>40</v>
      </c>
      <c r="C7" s="19" t="str">
        <f>Calculator!D4</f>
        <v>Lecture</v>
      </c>
      <c r="D7" s="19" t="str">
        <f>Calculator!E4</f>
        <v>None</v>
      </c>
      <c r="E7" s="19" t="str">
        <f>Calculator!F4</f>
        <v>None</v>
      </c>
      <c r="F7" s="19" t="str">
        <f>Calculator!G4</f>
        <v>None</v>
      </c>
      <c r="G7" s="19" t="str">
        <f>Calculator!H4</f>
        <v>Lecture</v>
      </c>
      <c r="H7" s="19" t="str">
        <f>Calculator!I4</f>
        <v>None</v>
      </c>
      <c r="I7" s="19" t="str">
        <f>Calculator!J4</f>
        <v>None</v>
      </c>
      <c r="J7" s="19" t="str">
        <f>Calculator!K4</f>
        <v>None</v>
      </c>
      <c r="K7" s="19" t="str">
        <f>Calculator!L4</f>
        <v>None</v>
      </c>
      <c r="L7" s="8"/>
    </row>
    <row r="8" spans="2:12" ht="15.5" thickTop="1" thickBot="1" x14ac:dyDescent="0.4">
      <c r="B8" s="28" t="s">
        <v>41</v>
      </c>
      <c r="C8" s="19" t="str">
        <f>Calculator!D5</f>
        <v>None</v>
      </c>
      <c r="D8" s="19" t="str">
        <f>Calculator!E5</f>
        <v>Lecture</v>
      </c>
      <c r="E8" s="19" t="str">
        <f>Calculator!F5</f>
        <v>None</v>
      </c>
      <c r="F8" s="19" t="str">
        <f>Calculator!G5</f>
        <v>Lecture</v>
      </c>
      <c r="G8" s="19" t="str">
        <f>Calculator!H5</f>
        <v>None</v>
      </c>
      <c r="H8" s="19" t="str">
        <f>Calculator!I5</f>
        <v>None</v>
      </c>
      <c r="I8" s="19" t="str">
        <f>Calculator!J5</f>
        <v>None</v>
      </c>
      <c r="J8" s="19" t="str">
        <f>Calculator!K5</f>
        <v>None</v>
      </c>
      <c r="K8" s="19" t="str">
        <f>Calculator!L5</f>
        <v>None</v>
      </c>
      <c r="L8" s="8"/>
    </row>
    <row r="9" spans="2:12" ht="15.5" thickTop="1" thickBot="1" x14ac:dyDescent="0.4">
      <c r="B9" s="14"/>
      <c r="C9" s="9"/>
      <c r="D9" s="9"/>
      <c r="E9" s="9"/>
      <c r="F9" s="26"/>
      <c r="G9" s="9"/>
      <c r="H9" s="9"/>
      <c r="I9" s="9"/>
      <c r="J9" s="9"/>
      <c r="K9" s="9"/>
      <c r="L9" s="10"/>
    </row>
    <row r="11" spans="2:12" ht="23.5" x14ac:dyDescent="0.55000000000000004">
      <c r="B11" s="20" t="s">
        <v>44</v>
      </c>
      <c r="E11" s="18" t="str">
        <f ca="1">TEXT(WEEKDAY(NOW()), "dddd")</f>
        <v>Wednesday</v>
      </c>
    </row>
    <row r="13" spans="2:12" x14ac:dyDescent="0.35">
      <c r="B13" s="29" t="s">
        <v>46</v>
      </c>
      <c r="C13" s="30" t="s">
        <v>33</v>
      </c>
      <c r="D13" s="30"/>
      <c r="E13" s="29" t="s">
        <v>31</v>
      </c>
      <c r="F13" s="31" t="s">
        <v>32</v>
      </c>
      <c r="G13" s="29" t="s">
        <v>42</v>
      </c>
      <c r="H13" s="29" t="s">
        <v>35</v>
      </c>
      <c r="I13" s="2"/>
    </row>
    <row r="14" spans="2:12" x14ac:dyDescent="0.35">
      <c r="B14" s="15" t="str" cm="1">
        <f t="array" aca="1" ref="B14:C14" ca="1">_xlfn._xlws.FILTER(B28:C39, $F$28:$F$39=$E$11, "")</f>
        <v>COMP2281</v>
      </c>
      <c r="C14" s="15" t="str">
        <f ca="1"/>
        <v>Software Engineering</v>
      </c>
      <c r="D14" s="15"/>
      <c r="E14" s="15" t="str" cm="1">
        <f t="array" aca="1" ref="E14" ca="1">_xlfn._xlws.FILTER(E28:E39, $F$28:$F$39=$E$11, "")</f>
        <v>Workshop</v>
      </c>
      <c r="F14" s="17" cm="1">
        <f t="array" aca="1" ref="F14:H14" ca="1">_xlfn._xlws.FILTER(G28:I39, $F$28:$F$39=$E$11, "")</f>
        <v>9</v>
      </c>
      <c r="G14" s="15" t="str">
        <f ca="1"/>
        <v>Room</v>
      </c>
      <c r="H14" s="15" t="str">
        <f ca="1"/>
        <v>2 hours</v>
      </c>
      <c r="I14" s="12"/>
    </row>
    <row r="15" spans="2:12" x14ac:dyDescent="0.35">
      <c r="B15" s="15"/>
      <c r="C15" s="15"/>
      <c r="D15" s="15"/>
      <c r="E15" s="15"/>
      <c r="F15" s="17"/>
      <c r="G15" s="15"/>
      <c r="H15" s="15"/>
      <c r="I15" s="12"/>
    </row>
    <row r="16" spans="2:12" x14ac:dyDescent="0.35">
      <c r="B16" s="15"/>
      <c r="C16" s="15"/>
      <c r="D16" s="15"/>
      <c r="E16" s="15"/>
      <c r="F16" s="17"/>
      <c r="G16" s="15"/>
      <c r="H16" s="15"/>
      <c r="I16" s="12"/>
    </row>
    <row r="17" spans="2:11" x14ac:dyDescent="0.35">
      <c r="B17" s="15"/>
      <c r="C17" s="15"/>
      <c r="D17" s="15"/>
      <c r="E17" s="15"/>
      <c r="F17" s="17"/>
      <c r="G17" s="15"/>
      <c r="H17" s="15"/>
      <c r="I17" s="12"/>
    </row>
    <row r="18" spans="2:11" x14ac:dyDescent="0.35">
      <c r="B18" s="15"/>
      <c r="C18" s="15"/>
      <c r="D18" s="15"/>
      <c r="E18" s="15"/>
      <c r="F18" s="17"/>
      <c r="G18" s="15"/>
      <c r="H18" s="15"/>
      <c r="I18" s="12"/>
    </row>
    <row r="19" spans="2:11" x14ac:dyDescent="0.35">
      <c r="B19" s="15"/>
      <c r="C19" s="15"/>
      <c r="D19" s="15"/>
      <c r="E19" s="15"/>
      <c r="F19" s="17"/>
      <c r="G19" s="15"/>
      <c r="H19" s="15"/>
      <c r="I19" s="12"/>
    </row>
    <row r="20" spans="2:11" x14ac:dyDescent="0.35">
      <c r="B20" s="15"/>
      <c r="C20" s="15"/>
      <c r="D20" s="15"/>
      <c r="E20" s="15"/>
      <c r="F20" s="17"/>
      <c r="G20" s="15"/>
      <c r="H20" s="15"/>
      <c r="I20" s="12"/>
    </row>
    <row r="21" spans="2:11" x14ac:dyDescent="0.35">
      <c r="B21" s="15"/>
      <c r="C21" s="15"/>
      <c r="D21" s="15"/>
      <c r="E21" s="15"/>
      <c r="F21" s="17"/>
      <c r="G21" s="15"/>
      <c r="H21" s="15"/>
      <c r="I21" s="12"/>
    </row>
    <row r="22" spans="2:11" x14ac:dyDescent="0.35">
      <c r="B22" s="15"/>
      <c r="C22" s="15"/>
      <c r="D22" s="15"/>
      <c r="E22" s="15"/>
      <c r="F22" s="17"/>
      <c r="G22" s="15"/>
      <c r="H22" s="15"/>
      <c r="I22" s="12"/>
    </row>
    <row r="23" spans="2:11" x14ac:dyDescent="0.35">
      <c r="C23" s="12"/>
      <c r="D23" s="12"/>
      <c r="E23" s="12"/>
      <c r="F23" s="32"/>
      <c r="G23" s="12"/>
      <c r="H23" s="12"/>
      <c r="I23" s="12"/>
    </row>
    <row r="24" spans="2:11" x14ac:dyDescent="0.35">
      <c r="I24" s="12"/>
    </row>
    <row r="25" spans="2:11" ht="23.5" x14ac:dyDescent="0.55000000000000004">
      <c r="B25" s="20" t="s">
        <v>45</v>
      </c>
      <c r="I25" s="12"/>
    </row>
    <row r="26" spans="2:11" x14ac:dyDescent="0.35">
      <c r="I26" s="12"/>
    </row>
    <row r="27" spans="2:11" x14ac:dyDescent="0.35">
      <c r="B27" s="2" t="s">
        <v>30</v>
      </c>
      <c r="C27" s="21" t="s">
        <v>33</v>
      </c>
      <c r="D27" s="21"/>
      <c r="E27" s="2" t="s">
        <v>31</v>
      </c>
      <c r="F27" s="27" t="s">
        <v>29</v>
      </c>
      <c r="G27" s="2" t="s">
        <v>32</v>
      </c>
      <c r="H27" s="2" t="s">
        <v>42</v>
      </c>
      <c r="I27" s="2" t="s">
        <v>35</v>
      </c>
    </row>
    <row r="28" spans="2:11" x14ac:dyDescent="0.35">
      <c r="B28" s="12" t="s">
        <v>1</v>
      </c>
      <c r="C28" s="34" t="str">
        <f>VLOOKUP(B28,Calculator!$A$1:$B$6, 2, FALSE)</f>
        <v>Networks and Systems</v>
      </c>
      <c r="D28" s="34"/>
      <c r="E28" s="12" t="s">
        <v>0</v>
      </c>
      <c r="F28" s="33" t="s">
        <v>34</v>
      </c>
      <c r="G28" s="32">
        <v>9</v>
      </c>
      <c r="H28" s="12" t="s">
        <v>43</v>
      </c>
      <c r="I28" s="12" t="s">
        <v>36</v>
      </c>
      <c r="J28" s="35" t="str">
        <f>_xlfn.CONCAT(F28, " ", G28)</f>
        <v>Monday 9</v>
      </c>
      <c r="K28" s="1" t="str">
        <f>IF(I28="2 hours",_xlfn.CONCAT(F28," ",G28+1), "")</f>
        <v>Monday 10</v>
      </c>
    </row>
    <row r="29" spans="2:11" x14ac:dyDescent="0.35">
      <c r="B29" s="12" t="s">
        <v>1</v>
      </c>
      <c r="C29" s="34" t="str">
        <f>VLOOKUP(B29,Calculator!$A$1:$B$6, 2, FALSE)</f>
        <v>Networks and Systems</v>
      </c>
      <c r="D29" s="34"/>
      <c r="E29" s="12" t="s">
        <v>6</v>
      </c>
      <c r="F29" s="32" t="s">
        <v>38</v>
      </c>
      <c r="G29" s="32">
        <v>11</v>
      </c>
      <c r="H29" s="12" t="s">
        <v>43</v>
      </c>
      <c r="I29" s="12" t="s">
        <v>36</v>
      </c>
      <c r="J29" s="35" t="str">
        <f t="shared" ref="J29:J39" si="0">_xlfn.CONCAT(F29, " ", G29)</f>
        <v>Tuesday 11</v>
      </c>
      <c r="K29" s="1" t="str">
        <f t="shared" ref="K29:K39" si="1">IF(I29="2 hours",_xlfn.CONCAT(F29," ",G29+1), "")</f>
        <v>Tuesday 12</v>
      </c>
    </row>
    <row r="30" spans="2:11" x14ac:dyDescent="0.35">
      <c r="B30" s="12" t="s">
        <v>11</v>
      </c>
      <c r="C30" s="34" t="str">
        <f>VLOOKUP(B30,Calculator!$A$1:$B$6, 2, FALSE)</f>
        <v>Programming Paradigms</v>
      </c>
      <c r="D30" s="34"/>
      <c r="E30" s="12" t="s">
        <v>0</v>
      </c>
      <c r="F30" s="33" t="s">
        <v>41</v>
      </c>
      <c r="G30" s="32">
        <v>10</v>
      </c>
      <c r="H30" s="12" t="s">
        <v>43</v>
      </c>
      <c r="I30" s="12" t="s">
        <v>37</v>
      </c>
      <c r="J30" s="35" t="str">
        <f t="shared" si="0"/>
        <v>Friday 10</v>
      </c>
      <c r="K30" s="1" t="str">
        <f t="shared" si="1"/>
        <v/>
      </c>
    </row>
    <row r="31" spans="2:11" x14ac:dyDescent="0.35">
      <c r="B31" s="12" t="s">
        <v>11</v>
      </c>
      <c r="C31" s="34" t="str">
        <f>VLOOKUP(B31,Calculator!$A$1:$B$6, 2, FALSE)</f>
        <v>Programming Paradigms</v>
      </c>
      <c r="D31" s="34"/>
      <c r="E31" s="12" t="s">
        <v>6</v>
      </c>
      <c r="F31" s="33" t="s">
        <v>34</v>
      </c>
      <c r="G31" s="32">
        <v>16</v>
      </c>
      <c r="H31" s="12" t="s">
        <v>43</v>
      </c>
      <c r="I31" s="12" t="s">
        <v>36</v>
      </c>
      <c r="J31" s="35" t="str">
        <f t="shared" si="0"/>
        <v>Monday 16</v>
      </c>
      <c r="K31" s="1" t="str">
        <f t="shared" si="1"/>
        <v>Monday 17</v>
      </c>
    </row>
    <row r="32" spans="2:11" x14ac:dyDescent="0.35">
      <c r="B32" s="12" t="s">
        <v>14</v>
      </c>
      <c r="C32" s="34" t="str">
        <f>VLOOKUP(B32,Calculator!$A$1:$B$6, 2, FALSE)</f>
        <v>Theory of Computation</v>
      </c>
      <c r="D32" s="34"/>
      <c r="E32" s="12" t="s">
        <v>0</v>
      </c>
      <c r="F32" s="33" t="s">
        <v>40</v>
      </c>
      <c r="G32" s="32">
        <v>9</v>
      </c>
      <c r="H32" s="12" t="s">
        <v>43</v>
      </c>
      <c r="I32" s="12" t="s">
        <v>37</v>
      </c>
      <c r="J32" s="35" t="str">
        <f t="shared" si="0"/>
        <v>Thursday 9</v>
      </c>
      <c r="K32" s="1" t="str">
        <f t="shared" si="1"/>
        <v/>
      </c>
    </row>
    <row r="33" spans="2:11" x14ac:dyDescent="0.35">
      <c r="B33" s="12" t="s">
        <v>14</v>
      </c>
      <c r="C33" s="34" t="str">
        <f>VLOOKUP(B33,Calculator!$A$1:$B$6, 2, FALSE)</f>
        <v>Theory of Computation</v>
      </c>
      <c r="D33" s="34"/>
      <c r="E33" s="12" t="s">
        <v>6</v>
      </c>
      <c r="F33" s="33" t="s">
        <v>38</v>
      </c>
      <c r="G33" s="32">
        <v>15</v>
      </c>
      <c r="H33" s="12" t="s">
        <v>43</v>
      </c>
      <c r="I33" s="12" t="s">
        <v>36</v>
      </c>
      <c r="J33" s="35" t="str">
        <f t="shared" si="0"/>
        <v>Tuesday 15</v>
      </c>
      <c r="K33" s="1" t="str">
        <f t="shared" si="1"/>
        <v>Tuesday 16</v>
      </c>
    </row>
    <row r="34" spans="2:11" x14ac:dyDescent="0.35">
      <c r="B34" s="12" t="s">
        <v>16</v>
      </c>
      <c r="C34" s="34" t="str">
        <f>VLOOKUP(B34,Calculator!$A$1:$B$6, 2, FALSE)</f>
        <v>Artificial Intelligence</v>
      </c>
      <c r="D34" s="34"/>
      <c r="E34" s="12" t="s">
        <v>0</v>
      </c>
      <c r="F34" s="33" t="s">
        <v>41</v>
      </c>
      <c r="G34" s="32">
        <v>12</v>
      </c>
      <c r="H34" s="12" t="s">
        <v>43</v>
      </c>
      <c r="I34" s="12" t="s">
        <v>37</v>
      </c>
      <c r="J34" s="35" t="str">
        <f t="shared" si="0"/>
        <v>Friday 12</v>
      </c>
      <c r="K34" s="1" t="str">
        <f t="shared" si="1"/>
        <v/>
      </c>
    </row>
    <row r="35" spans="2:11" x14ac:dyDescent="0.35">
      <c r="B35" s="12" t="s">
        <v>16</v>
      </c>
      <c r="C35" s="34" t="str">
        <f>VLOOKUP(B35,Calculator!$A$1:$B$6, 2, FALSE)</f>
        <v>Artificial Intelligence</v>
      </c>
      <c r="D35" s="34"/>
      <c r="E35" s="12" t="s">
        <v>6</v>
      </c>
      <c r="F35" s="33" t="s">
        <v>34</v>
      </c>
      <c r="G35" s="32">
        <v>2</v>
      </c>
      <c r="H35" s="12" t="s">
        <v>43</v>
      </c>
      <c r="I35" s="12" t="s">
        <v>36</v>
      </c>
      <c r="J35" s="35" t="str">
        <f t="shared" si="0"/>
        <v>Monday 2</v>
      </c>
      <c r="K35" s="1" t="str">
        <f t="shared" si="1"/>
        <v>Monday 3</v>
      </c>
    </row>
    <row r="36" spans="2:11" x14ac:dyDescent="0.35">
      <c r="B36" s="12" t="s">
        <v>19</v>
      </c>
      <c r="C36" s="34" t="str">
        <f>VLOOKUP(B36,Calculator!$A$1:$B$6, 2, FALSE)</f>
        <v>Data Science</v>
      </c>
      <c r="D36" s="34"/>
      <c r="E36" s="12" t="s">
        <v>0</v>
      </c>
      <c r="F36" s="33" t="s">
        <v>40</v>
      </c>
      <c r="G36" s="32">
        <v>13</v>
      </c>
      <c r="H36" s="12" t="s">
        <v>43</v>
      </c>
      <c r="I36" s="12" t="s">
        <v>37</v>
      </c>
      <c r="J36" s="35" t="str">
        <f t="shared" si="0"/>
        <v>Thursday 13</v>
      </c>
      <c r="K36" s="1" t="str">
        <f t="shared" si="1"/>
        <v/>
      </c>
    </row>
    <row r="37" spans="2:11" x14ac:dyDescent="0.35">
      <c r="B37" s="12" t="s">
        <v>19</v>
      </c>
      <c r="C37" s="34" t="str">
        <f>VLOOKUP(B37,Calculator!$A$1:$B$6, 2, FALSE)</f>
        <v>Data Science</v>
      </c>
      <c r="D37" s="34"/>
      <c r="E37" s="12" t="s">
        <v>6</v>
      </c>
      <c r="F37" s="33" t="s">
        <v>38</v>
      </c>
      <c r="G37" s="32">
        <v>9</v>
      </c>
      <c r="H37" s="12" t="s">
        <v>43</v>
      </c>
      <c r="I37" s="12" t="s">
        <v>36</v>
      </c>
      <c r="J37" s="35" t="str">
        <f t="shared" si="0"/>
        <v>Tuesday 9</v>
      </c>
      <c r="K37" s="1" t="str">
        <f t="shared" si="1"/>
        <v>Tuesday 10</v>
      </c>
    </row>
    <row r="38" spans="2:11" x14ac:dyDescent="0.35">
      <c r="B38" s="12" t="s">
        <v>21</v>
      </c>
      <c r="C38" s="34" t="str">
        <f>VLOOKUP(B38,Calculator!$A$1:$B$6, 2, FALSE)</f>
        <v>Software Engineering</v>
      </c>
      <c r="D38" s="34"/>
      <c r="E38" s="12" t="s">
        <v>0</v>
      </c>
      <c r="F38" s="33" t="s">
        <v>34</v>
      </c>
      <c r="G38" s="32">
        <v>12</v>
      </c>
      <c r="H38" s="12" t="s">
        <v>43</v>
      </c>
      <c r="I38" s="12" t="s">
        <v>37</v>
      </c>
      <c r="J38" s="35" t="str">
        <f t="shared" si="0"/>
        <v>Monday 12</v>
      </c>
      <c r="K38" s="1" t="str">
        <f t="shared" si="1"/>
        <v/>
      </c>
    </row>
    <row r="39" spans="2:11" x14ac:dyDescent="0.35">
      <c r="B39" s="12" t="s">
        <v>21</v>
      </c>
      <c r="C39" s="34" t="str">
        <f>VLOOKUP(B39,Calculator!$A$1:$B$6, 2, FALSE)</f>
        <v>Software Engineering</v>
      </c>
      <c r="D39" s="34"/>
      <c r="E39" s="12" t="s">
        <v>28</v>
      </c>
      <c r="F39" s="33" t="s">
        <v>39</v>
      </c>
      <c r="G39" s="32">
        <v>9</v>
      </c>
      <c r="H39" s="12" t="s">
        <v>43</v>
      </c>
      <c r="I39" s="12" t="s">
        <v>36</v>
      </c>
      <c r="J39" s="35" t="str">
        <f t="shared" si="0"/>
        <v>Wednesday 9</v>
      </c>
      <c r="K39" s="1" t="str">
        <f t="shared" si="1"/>
        <v>Wednesday 10</v>
      </c>
    </row>
    <row r="41" spans="2:11" x14ac:dyDescent="0.35">
      <c r="C41" s="22"/>
      <c r="D41" s="22"/>
    </row>
    <row r="42" spans="2:11" x14ac:dyDescent="0.35">
      <c r="C42" s="22"/>
      <c r="D42" s="22"/>
    </row>
    <row r="54" spans="6:6" x14ac:dyDescent="0.35">
      <c r="F54" s="23"/>
    </row>
    <row r="55" spans="6:6" x14ac:dyDescent="0.35">
      <c r="F55" s="23"/>
    </row>
    <row r="56" spans="6:6" x14ac:dyDescent="0.35">
      <c r="F56" s="23"/>
    </row>
    <row r="57" spans="6:6" x14ac:dyDescent="0.35">
      <c r="F57" s="23"/>
    </row>
    <row r="58" spans="6:6" x14ac:dyDescent="0.35">
      <c r="F58" s="23"/>
    </row>
    <row r="59" spans="6:6" x14ac:dyDescent="0.35">
      <c r="F59" s="23"/>
    </row>
  </sheetData>
  <mergeCells count="16">
    <mergeCell ref="C27:D27"/>
    <mergeCell ref="C38:D38"/>
    <mergeCell ref="C39:D39"/>
    <mergeCell ref="C28:D28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41:D41"/>
    <mergeCell ref="C42:D42"/>
    <mergeCell ref="C13:D13"/>
  </mergeCells>
  <phoneticPr fontId="5" type="noConversion"/>
  <conditionalFormatting sqref="C4:K8">
    <cfRule type="cellIs" dxfId="12" priority="1" operator="equal">
      <formula>"Workshop"</formula>
    </cfRule>
    <cfRule type="cellIs" dxfId="11" priority="2" operator="equal">
      <formula>"Lecture"</formula>
    </cfRule>
    <cfRule type="cellIs" dxfId="10" priority="3" operator="equal">
      <formula>"Practical"</formula>
    </cfRule>
    <cfRule type="cellIs" dxfId="9" priority="4" operator="equal">
      <formula>"Practical Part 1"</formula>
    </cfRule>
    <cfRule type="cellIs" dxfId="8" priority="5" operator="equal">
      <formula>"Lecture Part 1"</formula>
    </cfRule>
    <cfRule type="cellIs" dxfId="7" priority="6" operator="equal">
      <formula>"None"</formula>
    </cfRule>
    <cfRule type="cellIs" dxfId="6" priority="8" operator="equal">
      <formula>"Workshop Part 1"</formula>
    </cfRule>
    <cfRule type="cellIs" dxfId="5" priority="12" operator="equal">
      <formula>"Workshop Part 2"</formula>
    </cfRule>
    <cfRule type="cellIs" dxfId="4" priority="13" operator="equal">
      <formula>"Practical Part 2"</formula>
    </cfRule>
    <cfRule type="cellIs" dxfId="3" priority="14" operator="equal">
      <formula>"Lecture Part 2"</formula>
    </cfRule>
  </conditionalFormatting>
  <conditionalFormatting sqref="E14:E999">
    <cfRule type="cellIs" dxfId="2" priority="9" operator="equal">
      <formula>"Workshop"</formula>
    </cfRule>
    <cfRule type="cellIs" dxfId="1" priority="10" operator="equal">
      <formula>"Practical"</formula>
    </cfRule>
    <cfRule type="cellIs" dxfId="0" priority="11" operator="equal">
      <formula>"Lecture"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7F945-5D66-43BD-B0D6-2B4E8AF2D977}">
  <dimension ref="A1:L6"/>
  <sheetViews>
    <sheetView workbookViewId="0">
      <selection activeCell="F14" sqref="F14"/>
    </sheetView>
  </sheetViews>
  <sheetFormatPr defaultRowHeight="14.5" x14ac:dyDescent="0.35"/>
  <cols>
    <col min="1" max="1" width="10" bestFit="1" customWidth="1"/>
    <col min="2" max="2" width="21.36328125" bestFit="1" customWidth="1"/>
    <col min="4" max="4" width="18.453125" bestFit="1" customWidth="1"/>
    <col min="5" max="5" width="12.1796875" bestFit="1" customWidth="1"/>
    <col min="6" max="7" width="14.81640625" bestFit="1" customWidth="1"/>
    <col min="8" max="8" width="12.1796875" bestFit="1" customWidth="1"/>
    <col min="9" max="10" width="13.08984375" bestFit="1" customWidth="1"/>
    <col min="11" max="12" width="12.1796875" bestFit="1" customWidth="1"/>
  </cols>
  <sheetData>
    <row r="1" spans="1:12" x14ac:dyDescent="0.35">
      <c r="A1" t="s">
        <v>1</v>
      </c>
      <c r="B1" t="s">
        <v>2</v>
      </c>
      <c r="D1" t="str" cm="1">
        <f t="array" ref="D1">_xlfn.IFS(_xlfn.XLOOKUP(_xlfn.CONCAT(Timetable!$B4, " ", Timetable!C$3), Timetable!$J$28:$J$39, Timetable!$E$28:$E$39, " ", 0) &lt;&gt; " ", IF(E1 = _xlfn.XLOOKUP(_xlfn.CONCAT(Timetable!$B4, " ", Timetable!C$3), Timetable!$J$28:$J$39, Timetable!$E$28:$E$39, " ", 0) &amp; " Part 2", _xlfn.XLOOKUP(_xlfn.CONCAT(Timetable!$B4, " ", Timetable!C$3), Timetable!$J$28:$J$39, Timetable!$E$28:$E$39, " ", 0) &amp; " Part 1", _xlfn.XLOOKUP(_xlfn.CONCAT(Timetable!$B4, " ", Timetable!C$3), Timetable!$J$28:$J$39, Timetable!$E$28:$E$39, " ", 0)), _xlfn.XLOOKUP(_xlfn.CONCAT(Timetable!$B4, " ", Timetable!C$3), Timetable!$K$28:$K$39, Timetable!$E$28:$E$39, " ", 0) &lt;&gt; " ", _xlfn.XLOOKUP(_xlfn.CONCAT(Timetable!$B4, " ", Timetable!C$3), Timetable!$K$28:$K$39, Timetable!$E$28:$E$39, " ", 0) &amp; " Part 2", TRUE, "None")</f>
        <v>Lecture Part 1</v>
      </c>
      <c r="E1" t="str" cm="1">
        <f t="array" ref="E1">_xlfn.IFS(_xlfn.XLOOKUP(_xlfn.CONCAT(Timetable!$B4, " ", Timetable!D$3), Timetable!$J$28:$J$39, Timetable!$E$28:$E$39, " ", 0) &lt;&gt; " ", IF(F1 = _xlfn.XLOOKUP(_xlfn.CONCAT(Timetable!$B4, " ", Timetable!D$3), Timetable!$J$28:$J$39, Timetable!$E$28:$E$39, " ", 0) &amp; " Part 2", _xlfn.XLOOKUP(_xlfn.CONCAT(Timetable!$B4, " ", Timetable!D$3), Timetable!$J$28:$J$39, Timetable!$E$28:$E$39, " ", 0) &amp; " Part 1", _xlfn.XLOOKUP(_xlfn.CONCAT(Timetable!$B4, " ", Timetable!D$3), Timetable!$J$28:$J$39, Timetable!$E$28:$E$39, " ", 0)), _xlfn.XLOOKUP(_xlfn.CONCAT(Timetable!$B4, " ", Timetable!D$3), Timetable!$K$28:$K$39, Timetable!$E$28:$E$39, " ", 0) &lt;&gt; " ", _xlfn.XLOOKUP(_xlfn.CONCAT(Timetable!$B4, " ", Timetable!D$3), Timetable!$K$28:$K$39, Timetable!$E$28:$E$39, " ", 0) &amp; " Part 2", TRUE, "None")</f>
        <v>Lecture Part 2</v>
      </c>
      <c r="F1" t="str" cm="1">
        <f t="array" ref="F1">_xlfn.IFS(_xlfn.XLOOKUP(_xlfn.CONCAT(Timetable!$B4, " ", Timetable!E$3), Timetable!$J$28:$J$39, Timetable!$E$28:$E$39, " ", 0) &lt;&gt; " ", IF(G1 = _xlfn.XLOOKUP(_xlfn.CONCAT(Timetable!$B4, " ", Timetable!E$3), Timetable!$J$28:$J$39, Timetable!$E$28:$E$39, " ", 0) &amp; " Part 2", _xlfn.XLOOKUP(_xlfn.CONCAT(Timetable!$B4, " ", Timetable!E$3), Timetable!$J$28:$J$39, Timetable!$E$28:$E$39, " ", 0) &amp; " Part 1", _xlfn.XLOOKUP(_xlfn.CONCAT(Timetable!$B4, " ", Timetable!E$3), Timetable!$J$28:$J$39, Timetable!$E$28:$E$39, " ", 0)), _xlfn.XLOOKUP(_xlfn.CONCAT(Timetable!$B4, " ", Timetable!E$3), Timetable!$K$28:$K$39, Timetable!$E$28:$E$39, " ", 0) &lt;&gt; " ", _xlfn.XLOOKUP(_xlfn.CONCAT(Timetable!$B4, " ", Timetable!E$3), Timetable!$K$28:$K$39, Timetable!$E$28:$E$39, " ", 0) &amp; " Part 2", TRUE, "None")</f>
        <v>None</v>
      </c>
      <c r="G1" t="str" cm="1">
        <f t="array" ref="G1">_xlfn.IFS(_xlfn.XLOOKUP(_xlfn.CONCAT(Timetable!$B4, " ", Timetable!F$3), Timetable!$J$28:$J$39, Timetable!$E$28:$E$39, " ", 0) &lt;&gt; " ", IF(H1 = _xlfn.XLOOKUP(_xlfn.CONCAT(Timetable!$B4, " ", Timetable!F$3), Timetable!$J$28:$J$39, Timetable!$E$28:$E$39, " ", 0) &amp; " Part 2", _xlfn.XLOOKUP(_xlfn.CONCAT(Timetable!$B4, " ", Timetable!F$3), Timetable!$J$28:$J$39, Timetable!$E$28:$E$39, " ", 0) &amp; " Part 1", _xlfn.XLOOKUP(_xlfn.CONCAT(Timetable!$B4, " ", Timetable!F$3), Timetable!$J$28:$J$39, Timetable!$E$28:$E$39, " ", 0)), _xlfn.XLOOKUP(_xlfn.CONCAT(Timetable!$B4, " ", Timetable!F$3), Timetable!$K$28:$K$39, Timetable!$E$28:$E$39, " ", 0) &lt;&gt; " ", _xlfn.XLOOKUP(_xlfn.CONCAT(Timetable!$B4, " ", Timetable!F$3), Timetable!$K$28:$K$39, Timetable!$E$28:$E$39, " ", 0) &amp; " Part 2", TRUE, "None")</f>
        <v>Lecture</v>
      </c>
      <c r="H1" t="str" cm="1">
        <f t="array" ref="H1">_xlfn.IFS(_xlfn.XLOOKUP(_xlfn.CONCAT(Timetable!$B4, " ", Timetable!G$3), Timetable!$J$28:$J$39, Timetable!$E$28:$E$39, " ", 0) &lt;&gt; " ", IF(I1 = _xlfn.XLOOKUP(_xlfn.CONCAT(Timetable!$B4, " ", Timetable!G$3), Timetable!$J$28:$J$39, Timetable!$E$28:$E$39, " ", 0) &amp; " Part 2", _xlfn.XLOOKUP(_xlfn.CONCAT(Timetable!$B4, " ", Timetable!G$3), Timetable!$J$28:$J$39, Timetable!$E$28:$E$39, " ", 0) &amp; " Part 1", _xlfn.XLOOKUP(_xlfn.CONCAT(Timetable!$B4, " ", Timetable!G$3), Timetable!$J$28:$J$39, Timetable!$E$28:$E$39, " ", 0)), _xlfn.XLOOKUP(_xlfn.CONCAT(Timetable!$B4, " ", Timetable!G$3), Timetable!$K$28:$K$39, Timetable!$E$28:$E$39, " ", 0) &lt;&gt; " ", _xlfn.XLOOKUP(_xlfn.CONCAT(Timetable!$B4, " ", Timetable!G$3), Timetable!$K$28:$K$39, Timetable!$E$28:$E$39, " ", 0) &amp; " Part 2", TRUE, "None")</f>
        <v>None</v>
      </c>
      <c r="I1" t="str" cm="1">
        <f t="array" ref="I1">_xlfn.IFS(_xlfn.XLOOKUP(_xlfn.CONCAT(Timetable!$B4, " ", Timetable!H$3), Timetable!$J$28:$J$39, Timetable!$E$28:$E$39, " ", 0) &lt;&gt; " ", IF(J1 = _xlfn.XLOOKUP(_xlfn.CONCAT(Timetable!$B4, " ", Timetable!H$3), Timetable!$J$28:$J$39, Timetable!$E$28:$E$39, " ", 0) &amp; " Part 2", _xlfn.XLOOKUP(_xlfn.CONCAT(Timetable!$B4, " ", Timetable!H$3), Timetable!$J$28:$J$39, Timetable!$E$28:$E$39, " ", 0) &amp; " Part 1", _xlfn.XLOOKUP(_xlfn.CONCAT(Timetable!$B4, " ", Timetable!H$3), Timetable!$J$28:$J$39, Timetable!$E$28:$E$39, " ", 0)), _xlfn.XLOOKUP(_xlfn.CONCAT(Timetable!$B4, " ", Timetable!H$3), Timetable!$K$28:$K$39, Timetable!$E$28:$E$39, " ", 0) &lt;&gt; " ", _xlfn.XLOOKUP(_xlfn.CONCAT(Timetable!$B4, " ", Timetable!H$3), Timetable!$K$28:$K$39, Timetable!$E$28:$E$39, " ", 0) &amp; " Part 2", TRUE, "None")</f>
        <v>None</v>
      </c>
      <c r="J1" t="str" cm="1">
        <f t="array" ref="J1">_xlfn.IFS(_xlfn.XLOOKUP(_xlfn.CONCAT(Timetable!$B4, " ", Timetable!I$3), Timetable!$J$28:$J$39, Timetable!$E$28:$E$39, " ", 0) &lt;&gt; " ", IF(K1 = _xlfn.XLOOKUP(_xlfn.CONCAT(Timetable!$B4, " ", Timetable!I$3), Timetable!$J$28:$J$39, Timetable!$E$28:$E$39, " ", 0) &amp; " Part 2", _xlfn.XLOOKUP(_xlfn.CONCAT(Timetable!$B4, " ", Timetable!I$3), Timetable!$J$28:$J$39, Timetable!$E$28:$E$39, " ", 0) &amp; " Part 1", _xlfn.XLOOKUP(_xlfn.CONCAT(Timetable!$B4, " ", Timetable!I$3), Timetable!$J$28:$J$39, Timetable!$E$28:$E$39, " ", 0)), _xlfn.XLOOKUP(_xlfn.CONCAT(Timetable!$B4, " ", Timetable!I$3), Timetable!$K$28:$K$39, Timetable!$E$28:$E$39, " ", 0) &lt;&gt; " ", _xlfn.XLOOKUP(_xlfn.CONCAT(Timetable!$B4, " ", Timetable!I$3), Timetable!$K$28:$K$39, Timetable!$E$28:$E$39, " ", 0) &amp; " Part 2", TRUE, "None")</f>
        <v>None</v>
      </c>
      <c r="K1" t="str" cm="1">
        <f t="array" ref="K1">_xlfn.IFS(_xlfn.XLOOKUP(_xlfn.CONCAT(Timetable!$B4, " ", Timetable!J$3), Timetable!$J$28:$J$39, Timetable!$E$28:$E$39, " ", 0) &lt;&gt; " ", IF(L1 = _xlfn.XLOOKUP(_xlfn.CONCAT(Timetable!$B4, " ", Timetable!J$3), Timetable!$J$28:$J$39, Timetable!$E$28:$E$39, " ", 0) &amp; " Part 2", _xlfn.XLOOKUP(_xlfn.CONCAT(Timetable!$B4, " ", Timetable!J$3), Timetable!$J$28:$J$39, Timetable!$E$28:$E$39, " ", 0) &amp; " Part 1", _xlfn.XLOOKUP(_xlfn.CONCAT(Timetable!$B4, " ", Timetable!J$3), Timetable!$J$28:$J$39, Timetable!$E$28:$E$39, " ", 0)), _xlfn.XLOOKUP(_xlfn.CONCAT(Timetable!$B4, " ", Timetable!J$3), Timetable!$K$28:$K$39, Timetable!$E$28:$E$39, " ", 0) &lt;&gt; " ", _xlfn.XLOOKUP(_xlfn.CONCAT(Timetable!$B4, " ", Timetable!J$3), Timetable!$K$28:$K$39, Timetable!$E$28:$E$39, " ", 0) &amp; " Part 2", TRUE, "None")</f>
        <v>Practical Part 1</v>
      </c>
      <c r="L1" t="str" cm="1">
        <f t="array" ref="L1">_xlfn.IFS(_xlfn.XLOOKUP(_xlfn.CONCAT(Timetable!$B4, " ", Timetable!K$3), Timetable!$J$28:$J$39, Timetable!$E$28:$E$39, " ", 0) &lt;&gt; " ", IF(M1 = _xlfn.XLOOKUP(_xlfn.CONCAT(Timetable!$B4, " ", Timetable!K$3), Timetable!$J$28:$J$39, Timetable!$E$28:$E$39, " ", 0) &amp; " Part 2", _xlfn.XLOOKUP(_xlfn.CONCAT(Timetable!$B4, " ", Timetable!K$3), Timetable!$J$28:$J$39, Timetable!$E$28:$E$39, " ", 0) &amp; " Part 1", _xlfn.XLOOKUP(_xlfn.CONCAT(Timetable!$B4, " ", Timetable!K$3), Timetable!$J$28:$J$39, Timetable!$E$28:$E$39, " ", 0)), _xlfn.XLOOKUP(_xlfn.CONCAT(Timetable!$B4, " ", Timetable!K$3), Timetable!$K$28:$K$39, Timetable!$E$28:$E$39, " ", 0) &lt;&gt; " ", _xlfn.XLOOKUP(_xlfn.CONCAT(Timetable!$B4, " ", Timetable!K$3), Timetable!$K$28:$K$39, Timetable!$E$28:$E$39, " ", 0) &amp; " Part 2", TRUE, "None")</f>
        <v>Practical Part 2</v>
      </c>
    </row>
    <row r="2" spans="1:12" x14ac:dyDescent="0.35">
      <c r="A2" t="s">
        <v>11</v>
      </c>
      <c r="B2" t="s">
        <v>12</v>
      </c>
      <c r="D2" t="str" cm="1">
        <f t="array" ref="D2">_xlfn.IFS(_xlfn.XLOOKUP(_xlfn.CONCAT(Timetable!$B5, " ", Timetable!C$3), Timetable!$J$28:$J$39, Timetable!$E$28:$E$39, " ", 0) &lt;&gt; " ", IF(E2 = _xlfn.XLOOKUP(_xlfn.CONCAT(Timetable!$B5, " ", Timetable!C$3), Timetable!$J$28:$J$39, Timetable!$E$28:$E$39, " ", 0) &amp; " Part 2", _xlfn.XLOOKUP(_xlfn.CONCAT(Timetable!$B5, " ", Timetable!C$3), Timetable!$J$28:$J$39, Timetable!$E$28:$E$39, " ", 0) &amp; " Part 1", _xlfn.XLOOKUP(_xlfn.CONCAT(Timetable!$B5, " ", Timetable!C$3), Timetable!$J$28:$J$39, Timetable!$E$28:$E$39, " ", 0)), _xlfn.XLOOKUP(_xlfn.CONCAT(Timetable!$B5, " ", Timetable!C$3), Timetable!$K$28:$K$39, Timetable!$E$28:$E$39, " ", 0) &lt;&gt; " ", _xlfn.XLOOKUP(_xlfn.CONCAT(Timetable!$B5, " ", Timetable!C$3), Timetable!$K$28:$K$39, Timetable!$E$28:$E$39, " ", 0) &amp; " Part 2", TRUE, "None")</f>
        <v>Practical Part 1</v>
      </c>
      <c r="E2" t="str" cm="1">
        <f t="array" ref="E2">_xlfn.IFS(_xlfn.XLOOKUP(_xlfn.CONCAT(Timetable!$B5, " ", Timetable!D$3), Timetable!$J$28:$J$39, Timetable!$E$28:$E$39, " ", 0) &lt;&gt; " ", IF(F2 = _xlfn.XLOOKUP(_xlfn.CONCAT(Timetable!$B5, " ", Timetable!D$3), Timetable!$J$28:$J$39, Timetable!$E$28:$E$39, " ", 0) &amp; " Part 2", _xlfn.XLOOKUP(_xlfn.CONCAT(Timetable!$B5, " ", Timetable!D$3), Timetable!$J$28:$J$39, Timetable!$E$28:$E$39, " ", 0) &amp; " Part 1", _xlfn.XLOOKUP(_xlfn.CONCAT(Timetable!$B5, " ", Timetable!D$3), Timetable!$J$28:$J$39, Timetable!$E$28:$E$39, " ", 0)), _xlfn.XLOOKUP(_xlfn.CONCAT(Timetable!$B5, " ", Timetable!D$3), Timetable!$K$28:$K$39, Timetable!$E$28:$E$39, " ", 0) &lt;&gt; " ", _xlfn.XLOOKUP(_xlfn.CONCAT(Timetable!$B5, " ", Timetable!D$3), Timetable!$K$28:$K$39, Timetable!$E$28:$E$39, " ", 0) &amp; " Part 2", TRUE, "None")</f>
        <v>Practical Part 2</v>
      </c>
      <c r="F2" t="str" cm="1">
        <f t="array" ref="F2">_xlfn.IFS(_xlfn.XLOOKUP(_xlfn.CONCAT(Timetable!$B5, " ", Timetable!E$3), Timetable!$J$28:$J$39, Timetable!$E$28:$E$39, " ", 0) &lt;&gt; " ", IF(G2 = _xlfn.XLOOKUP(_xlfn.CONCAT(Timetable!$B5, " ", Timetable!E$3), Timetable!$J$28:$J$39, Timetable!$E$28:$E$39, " ", 0) &amp; " Part 2", _xlfn.XLOOKUP(_xlfn.CONCAT(Timetable!$B5, " ", Timetable!E$3), Timetable!$J$28:$J$39, Timetable!$E$28:$E$39, " ", 0) &amp; " Part 1", _xlfn.XLOOKUP(_xlfn.CONCAT(Timetable!$B5, " ", Timetable!E$3), Timetable!$J$28:$J$39, Timetable!$E$28:$E$39, " ", 0)), _xlfn.XLOOKUP(_xlfn.CONCAT(Timetable!$B5, " ", Timetable!E$3), Timetable!$K$28:$K$39, Timetable!$E$28:$E$39, " ", 0) &lt;&gt; " ", _xlfn.XLOOKUP(_xlfn.CONCAT(Timetable!$B5, " ", Timetable!E$3), Timetable!$K$28:$K$39, Timetable!$E$28:$E$39, " ", 0) &amp; " Part 2", TRUE, "None")</f>
        <v>Practical Part 1</v>
      </c>
      <c r="G2" t="str" cm="1">
        <f t="array" ref="G2">_xlfn.IFS(_xlfn.XLOOKUP(_xlfn.CONCAT(Timetable!$B5, " ", Timetable!F$3), Timetable!$J$28:$J$39, Timetable!$E$28:$E$39, " ", 0) &lt;&gt; " ", IF(H2 = _xlfn.XLOOKUP(_xlfn.CONCAT(Timetable!$B5, " ", Timetable!F$3), Timetable!$J$28:$J$39, Timetable!$E$28:$E$39, " ", 0) &amp; " Part 2", _xlfn.XLOOKUP(_xlfn.CONCAT(Timetable!$B5, " ", Timetable!F$3), Timetable!$J$28:$J$39, Timetable!$E$28:$E$39, " ", 0) &amp; " Part 1", _xlfn.XLOOKUP(_xlfn.CONCAT(Timetable!$B5, " ", Timetable!F$3), Timetable!$J$28:$J$39, Timetable!$E$28:$E$39, " ", 0)), _xlfn.XLOOKUP(_xlfn.CONCAT(Timetable!$B5, " ", Timetable!F$3), Timetable!$K$28:$K$39, Timetable!$E$28:$E$39, " ", 0) &lt;&gt; " ", _xlfn.XLOOKUP(_xlfn.CONCAT(Timetable!$B5, " ", Timetable!F$3), Timetable!$K$28:$K$39, Timetable!$E$28:$E$39, " ", 0) &amp; " Part 2", TRUE, "None")</f>
        <v>Practical Part 2</v>
      </c>
      <c r="H2" t="str" cm="1">
        <f t="array" ref="H2">_xlfn.IFS(_xlfn.XLOOKUP(_xlfn.CONCAT(Timetable!$B5, " ", Timetable!G$3), Timetable!$J$28:$J$39, Timetable!$E$28:$E$39, " ", 0) &lt;&gt; " ", IF(I2 = _xlfn.XLOOKUP(_xlfn.CONCAT(Timetable!$B5, " ", Timetable!G$3), Timetable!$J$28:$J$39, Timetable!$E$28:$E$39, " ", 0) &amp; " Part 2", _xlfn.XLOOKUP(_xlfn.CONCAT(Timetable!$B5, " ", Timetable!G$3), Timetable!$J$28:$J$39, Timetable!$E$28:$E$39, " ", 0) &amp; " Part 1", _xlfn.XLOOKUP(_xlfn.CONCAT(Timetable!$B5, " ", Timetable!G$3), Timetable!$J$28:$J$39, Timetable!$E$28:$E$39, " ", 0)), _xlfn.XLOOKUP(_xlfn.CONCAT(Timetable!$B5, " ", Timetable!G$3), Timetable!$K$28:$K$39, Timetable!$E$28:$E$39, " ", 0) &lt;&gt; " ", _xlfn.XLOOKUP(_xlfn.CONCAT(Timetable!$B5, " ", Timetable!G$3), Timetable!$K$28:$K$39, Timetable!$E$28:$E$39, " ", 0) &amp; " Part 2", TRUE, "None")</f>
        <v>None</v>
      </c>
      <c r="I2" t="str" cm="1">
        <f t="array" ref="I2">_xlfn.IFS(_xlfn.XLOOKUP(_xlfn.CONCAT(Timetable!$B5, " ", Timetable!H$3), Timetable!$J$28:$J$39, Timetable!$E$28:$E$39, " ", 0) &lt;&gt; " ", IF(J2 = _xlfn.XLOOKUP(_xlfn.CONCAT(Timetable!$B5, " ", Timetable!H$3), Timetable!$J$28:$J$39, Timetable!$E$28:$E$39, " ", 0) &amp; " Part 2", _xlfn.XLOOKUP(_xlfn.CONCAT(Timetable!$B5, " ", Timetable!H$3), Timetable!$J$28:$J$39, Timetable!$E$28:$E$39, " ", 0) &amp; " Part 1", _xlfn.XLOOKUP(_xlfn.CONCAT(Timetable!$B5, " ", Timetable!H$3), Timetable!$J$28:$J$39, Timetable!$E$28:$E$39, " ", 0)), _xlfn.XLOOKUP(_xlfn.CONCAT(Timetable!$B5, " ", Timetable!H$3), Timetable!$K$28:$K$39, Timetable!$E$28:$E$39, " ", 0) &lt;&gt; " ", _xlfn.XLOOKUP(_xlfn.CONCAT(Timetable!$B5, " ", Timetable!H$3), Timetable!$K$28:$K$39, Timetable!$E$28:$E$39, " ", 0) &amp; " Part 2", TRUE, "None")</f>
        <v>None</v>
      </c>
      <c r="J2" t="str" cm="1">
        <f t="array" ref="J2">_xlfn.IFS(_xlfn.XLOOKUP(_xlfn.CONCAT(Timetable!$B5, " ", Timetable!I$3), Timetable!$J$28:$J$39, Timetable!$E$28:$E$39, " ", 0) &lt;&gt; " ", IF(K2 = _xlfn.XLOOKUP(_xlfn.CONCAT(Timetable!$B5, " ", Timetable!I$3), Timetable!$J$28:$J$39, Timetable!$E$28:$E$39, " ", 0) &amp; " Part 2", _xlfn.XLOOKUP(_xlfn.CONCAT(Timetable!$B5, " ", Timetable!I$3), Timetable!$J$28:$J$39, Timetable!$E$28:$E$39, " ", 0) &amp; " Part 1", _xlfn.XLOOKUP(_xlfn.CONCAT(Timetable!$B5, " ", Timetable!I$3), Timetable!$J$28:$J$39, Timetable!$E$28:$E$39, " ", 0)), _xlfn.XLOOKUP(_xlfn.CONCAT(Timetable!$B5, " ", Timetable!I$3), Timetable!$K$28:$K$39, Timetable!$E$28:$E$39, " ", 0) &lt;&gt; " ", _xlfn.XLOOKUP(_xlfn.CONCAT(Timetable!$B5, " ", Timetable!I$3), Timetable!$K$28:$K$39, Timetable!$E$28:$E$39, " ", 0) &amp; " Part 2", TRUE, "None")</f>
        <v>Practical Part 1</v>
      </c>
      <c r="K2" t="str" cm="1">
        <f t="array" ref="K2">_xlfn.IFS(_xlfn.XLOOKUP(_xlfn.CONCAT(Timetable!$B5, " ", Timetable!J$3), Timetable!$J$28:$J$39, Timetable!$E$28:$E$39, " ", 0) &lt;&gt; " ", IF(L2 = _xlfn.XLOOKUP(_xlfn.CONCAT(Timetable!$B5, " ", Timetable!J$3), Timetable!$J$28:$J$39, Timetable!$E$28:$E$39, " ", 0) &amp; " Part 2", _xlfn.XLOOKUP(_xlfn.CONCAT(Timetable!$B5, " ", Timetable!J$3), Timetable!$J$28:$J$39, Timetable!$E$28:$E$39, " ", 0) &amp; " Part 1", _xlfn.XLOOKUP(_xlfn.CONCAT(Timetable!$B5, " ", Timetable!J$3), Timetable!$J$28:$J$39, Timetable!$E$28:$E$39, " ", 0)), _xlfn.XLOOKUP(_xlfn.CONCAT(Timetable!$B5, " ", Timetable!J$3), Timetable!$K$28:$K$39, Timetable!$E$28:$E$39, " ", 0) &lt;&gt; " ", _xlfn.XLOOKUP(_xlfn.CONCAT(Timetable!$B5, " ", Timetable!J$3), Timetable!$K$28:$K$39, Timetable!$E$28:$E$39, " ", 0) &amp; " Part 2", TRUE, "None")</f>
        <v>Practical Part 2</v>
      </c>
      <c r="L2" t="str" cm="1">
        <f t="array" ref="L2">_xlfn.IFS(_xlfn.XLOOKUP(_xlfn.CONCAT(Timetable!$B5, " ", Timetable!K$3), Timetable!$J$28:$J$39, Timetable!$E$28:$E$39, " ", 0) &lt;&gt; " ", IF(M2 = _xlfn.XLOOKUP(_xlfn.CONCAT(Timetable!$B5, " ", Timetable!K$3), Timetable!$J$28:$J$39, Timetable!$E$28:$E$39, " ", 0) &amp; " Part 2", _xlfn.XLOOKUP(_xlfn.CONCAT(Timetable!$B5, " ", Timetable!K$3), Timetable!$J$28:$J$39, Timetable!$E$28:$E$39, " ", 0) &amp; " Part 1", _xlfn.XLOOKUP(_xlfn.CONCAT(Timetable!$B5, " ", Timetable!K$3), Timetable!$J$28:$J$39, Timetable!$E$28:$E$39, " ", 0)), _xlfn.XLOOKUP(_xlfn.CONCAT(Timetable!$B5, " ", Timetable!K$3), Timetable!$K$28:$K$39, Timetable!$E$28:$E$39, " ", 0) &lt;&gt; " ", _xlfn.XLOOKUP(_xlfn.CONCAT(Timetable!$B5, " ", Timetable!K$3), Timetable!$K$28:$K$39, Timetable!$E$28:$E$39, " ", 0) &amp; " Part 2", TRUE, "None")</f>
        <v>None</v>
      </c>
    </row>
    <row r="3" spans="1:12" x14ac:dyDescent="0.35">
      <c r="A3" t="s">
        <v>14</v>
      </c>
      <c r="B3" t="s">
        <v>15</v>
      </c>
      <c r="D3" t="str" cm="1">
        <f t="array" ref="D3">_xlfn.IFS(_xlfn.XLOOKUP(_xlfn.CONCAT(Timetable!$B6, " ", Timetable!C$3), Timetable!$J$28:$J$39, Timetable!$E$28:$E$39, " ", 0) &lt;&gt; " ", IF(E3 = _xlfn.XLOOKUP(_xlfn.CONCAT(Timetable!$B6, " ", Timetable!C$3), Timetable!$J$28:$J$39, Timetable!$E$28:$E$39, " ", 0) &amp; " Part 2", _xlfn.XLOOKUP(_xlfn.CONCAT(Timetable!$B6, " ", Timetable!C$3), Timetable!$J$28:$J$39, Timetable!$E$28:$E$39, " ", 0) &amp; " Part 1", _xlfn.XLOOKUP(_xlfn.CONCAT(Timetable!$B6, " ", Timetable!C$3), Timetable!$J$28:$J$39, Timetable!$E$28:$E$39, " ", 0)), _xlfn.XLOOKUP(_xlfn.CONCAT(Timetable!$B6, " ", Timetable!C$3), Timetable!$K$28:$K$39, Timetable!$E$28:$E$39, " ", 0) &lt;&gt; " ", _xlfn.XLOOKUP(_xlfn.CONCAT(Timetable!$B6, " ", Timetable!C$3), Timetable!$K$28:$K$39, Timetable!$E$28:$E$39, " ", 0) &amp; " Part 2", TRUE, "None")</f>
        <v>Workshop Part 1</v>
      </c>
      <c r="E3" t="str" cm="1">
        <f t="array" ref="E3">_xlfn.IFS(_xlfn.XLOOKUP(_xlfn.CONCAT(Timetable!$B6, " ", Timetable!D$3), Timetable!$J$28:$J$39, Timetable!$E$28:$E$39, " ", 0) &lt;&gt; " ", IF(F3 = _xlfn.XLOOKUP(_xlfn.CONCAT(Timetable!$B6, " ", Timetable!D$3), Timetable!$J$28:$J$39, Timetable!$E$28:$E$39, " ", 0) &amp; " Part 2", _xlfn.XLOOKUP(_xlfn.CONCAT(Timetable!$B6, " ", Timetable!D$3), Timetable!$J$28:$J$39, Timetable!$E$28:$E$39, " ", 0) &amp; " Part 1", _xlfn.XLOOKUP(_xlfn.CONCAT(Timetable!$B6, " ", Timetable!D$3), Timetable!$J$28:$J$39, Timetable!$E$28:$E$39, " ", 0)), _xlfn.XLOOKUP(_xlfn.CONCAT(Timetable!$B6, " ", Timetable!D$3), Timetable!$K$28:$K$39, Timetable!$E$28:$E$39, " ", 0) &lt;&gt; " ", _xlfn.XLOOKUP(_xlfn.CONCAT(Timetable!$B6, " ", Timetable!D$3), Timetable!$K$28:$K$39, Timetable!$E$28:$E$39, " ", 0) &amp; " Part 2", TRUE, "None")</f>
        <v>Workshop Part 2</v>
      </c>
      <c r="F3" t="str" cm="1">
        <f t="array" ref="F3">_xlfn.IFS(_xlfn.XLOOKUP(_xlfn.CONCAT(Timetable!$B6, " ", Timetable!E$3), Timetable!$J$28:$J$39, Timetable!$E$28:$E$39, " ", 0) &lt;&gt; " ", IF(G3 = _xlfn.XLOOKUP(_xlfn.CONCAT(Timetable!$B6, " ", Timetable!E$3), Timetable!$J$28:$J$39, Timetable!$E$28:$E$39, " ", 0) &amp; " Part 2", _xlfn.XLOOKUP(_xlfn.CONCAT(Timetable!$B6, " ", Timetable!E$3), Timetable!$J$28:$J$39, Timetable!$E$28:$E$39, " ", 0) &amp; " Part 1", _xlfn.XLOOKUP(_xlfn.CONCAT(Timetable!$B6, " ", Timetable!E$3), Timetable!$J$28:$J$39, Timetable!$E$28:$E$39, " ", 0)), _xlfn.XLOOKUP(_xlfn.CONCAT(Timetable!$B6, " ", Timetable!E$3), Timetable!$K$28:$K$39, Timetable!$E$28:$E$39, " ", 0) &lt;&gt; " ", _xlfn.XLOOKUP(_xlfn.CONCAT(Timetable!$B6, " ", Timetable!E$3), Timetable!$K$28:$K$39, Timetable!$E$28:$E$39, " ", 0) &amp; " Part 2", TRUE, "None")</f>
        <v>None</v>
      </c>
      <c r="G3" t="str" cm="1">
        <f t="array" ref="G3">_xlfn.IFS(_xlfn.XLOOKUP(_xlfn.CONCAT(Timetable!$B6, " ", Timetable!F$3), Timetable!$J$28:$J$39, Timetable!$E$28:$E$39, " ", 0) &lt;&gt; " ", IF(H3 = _xlfn.XLOOKUP(_xlfn.CONCAT(Timetable!$B6, " ", Timetable!F$3), Timetable!$J$28:$J$39, Timetable!$E$28:$E$39, " ", 0) &amp; " Part 2", _xlfn.XLOOKUP(_xlfn.CONCAT(Timetable!$B6, " ", Timetable!F$3), Timetable!$J$28:$J$39, Timetable!$E$28:$E$39, " ", 0) &amp; " Part 1", _xlfn.XLOOKUP(_xlfn.CONCAT(Timetable!$B6, " ", Timetable!F$3), Timetable!$J$28:$J$39, Timetable!$E$28:$E$39, " ", 0)), _xlfn.XLOOKUP(_xlfn.CONCAT(Timetable!$B6, " ", Timetable!F$3), Timetable!$K$28:$K$39, Timetable!$E$28:$E$39, " ", 0) &lt;&gt; " ", _xlfn.XLOOKUP(_xlfn.CONCAT(Timetable!$B6, " ", Timetable!F$3), Timetable!$K$28:$K$39, Timetable!$E$28:$E$39, " ", 0) &amp; " Part 2", TRUE, "None")</f>
        <v>None</v>
      </c>
      <c r="H3" t="str" cm="1">
        <f t="array" ref="H3">_xlfn.IFS(_xlfn.XLOOKUP(_xlfn.CONCAT(Timetable!$B6, " ", Timetable!G$3), Timetable!$J$28:$J$39, Timetable!$E$28:$E$39, " ", 0) &lt;&gt; " ", IF(I3 = _xlfn.XLOOKUP(_xlfn.CONCAT(Timetable!$B6, " ", Timetable!G$3), Timetable!$J$28:$J$39, Timetable!$E$28:$E$39, " ", 0) &amp; " Part 2", _xlfn.XLOOKUP(_xlfn.CONCAT(Timetable!$B6, " ", Timetable!G$3), Timetable!$J$28:$J$39, Timetable!$E$28:$E$39, " ", 0) &amp; " Part 1", _xlfn.XLOOKUP(_xlfn.CONCAT(Timetable!$B6, " ", Timetable!G$3), Timetable!$J$28:$J$39, Timetable!$E$28:$E$39, " ", 0)), _xlfn.XLOOKUP(_xlfn.CONCAT(Timetable!$B6, " ", Timetable!G$3), Timetable!$K$28:$K$39, Timetable!$E$28:$E$39, " ", 0) &lt;&gt; " ", _xlfn.XLOOKUP(_xlfn.CONCAT(Timetable!$B6, " ", Timetable!G$3), Timetable!$K$28:$K$39, Timetable!$E$28:$E$39, " ", 0) &amp; " Part 2", TRUE, "None")</f>
        <v>None</v>
      </c>
      <c r="I3" t="str" cm="1">
        <f t="array" ref="I3">_xlfn.IFS(_xlfn.XLOOKUP(_xlfn.CONCAT(Timetable!$B6, " ", Timetable!H$3), Timetable!$J$28:$J$39, Timetable!$E$28:$E$39, " ", 0) &lt;&gt; " ", IF(J3 = _xlfn.XLOOKUP(_xlfn.CONCAT(Timetable!$B6, " ", Timetable!H$3), Timetable!$J$28:$J$39, Timetable!$E$28:$E$39, " ", 0) &amp; " Part 2", _xlfn.XLOOKUP(_xlfn.CONCAT(Timetable!$B6, " ", Timetable!H$3), Timetable!$J$28:$J$39, Timetable!$E$28:$E$39, " ", 0) &amp; " Part 1", _xlfn.XLOOKUP(_xlfn.CONCAT(Timetable!$B6, " ", Timetable!H$3), Timetable!$J$28:$J$39, Timetable!$E$28:$E$39, " ", 0)), _xlfn.XLOOKUP(_xlfn.CONCAT(Timetable!$B6, " ", Timetable!H$3), Timetable!$K$28:$K$39, Timetable!$E$28:$E$39, " ", 0) &lt;&gt; " ", _xlfn.XLOOKUP(_xlfn.CONCAT(Timetable!$B6, " ", Timetable!H$3), Timetable!$K$28:$K$39, Timetable!$E$28:$E$39, " ", 0) &amp; " Part 2", TRUE, "None")</f>
        <v>None</v>
      </c>
      <c r="J3" t="str" cm="1">
        <f t="array" ref="J3">_xlfn.IFS(_xlfn.XLOOKUP(_xlfn.CONCAT(Timetable!$B6, " ", Timetable!I$3), Timetable!$J$28:$J$39, Timetable!$E$28:$E$39, " ", 0) &lt;&gt; " ", IF(K3 = _xlfn.XLOOKUP(_xlfn.CONCAT(Timetable!$B6, " ", Timetable!I$3), Timetable!$J$28:$J$39, Timetable!$E$28:$E$39, " ", 0) &amp; " Part 2", _xlfn.XLOOKUP(_xlfn.CONCAT(Timetable!$B6, " ", Timetable!I$3), Timetable!$J$28:$J$39, Timetable!$E$28:$E$39, " ", 0) &amp; " Part 1", _xlfn.XLOOKUP(_xlfn.CONCAT(Timetable!$B6, " ", Timetable!I$3), Timetable!$J$28:$J$39, Timetable!$E$28:$E$39, " ", 0)), _xlfn.XLOOKUP(_xlfn.CONCAT(Timetable!$B6, " ", Timetable!I$3), Timetable!$K$28:$K$39, Timetable!$E$28:$E$39, " ", 0) &lt;&gt; " ", _xlfn.XLOOKUP(_xlfn.CONCAT(Timetable!$B6, " ", Timetable!I$3), Timetable!$K$28:$K$39, Timetable!$E$28:$E$39, " ", 0) &amp; " Part 2", TRUE, "None")</f>
        <v>None</v>
      </c>
      <c r="K3" t="str" cm="1">
        <f t="array" ref="K3">_xlfn.IFS(_xlfn.XLOOKUP(_xlfn.CONCAT(Timetable!$B6, " ", Timetable!J$3), Timetable!$J$28:$J$39, Timetable!$E$28:$E$39, " ", 0) &lt;&gt; " ", IF(L3 = _xlfn.XLOOKUP(_xlfn.CONCAT(Timetable!$B6, " ", Timetable!J$3), Timetable!$J$28:$J$39, Timetable!$E$28:$E$39, " ", 0) &amp; " Part 2", _xlfn.XLOOKUP(_xlfn.CONCAT(Timetable!$B6, " ", Timetable!J$3), Timetable!$J$28:$J$39, Timetable!$E$28:$E$39, " ", 0) &amp; " Part 1", _xlfn.XLOOKUP(_xlfn.CONCAT(Timetable!$B6, " ", Timetable!J$3), Timetable!$J$28:$J$39, Timetable!$E$28:$E$39, " ", 0)), _xlfn.XLOOKUP(_xlfn.CONCAT(Timetable!$B6, " ", Timetable!J$3), Timetable!$K$28:$K$39, Timetable!$E$28:$E$39, " ", 0) &lt;&gt; " ", _xlfn.XLOOKUP(_xlfn.CONCAT(Timetable!$B6, " ", Timetable!J$3), Timetable!$K$28:$K$39, Timetable!$E$28:$E$39, " ", 0) &amp; " Part 2", TRUE, "None")</f>
        <v>None</v>
      </c>
      <c r="L3" t="str" cm="1">
        <f t="array" ref="L3">_xlfn.IFS(_xlfn.XLOOKUP(_xlfn.CONCAT(Timetable!$B6, " ", Timetable!K$3), Timetable!$J$28:$J$39, Timetable!$E$28:$E$39, " ", 0) &lt;&gt; " ", IF(M3 = _xlfn.XLOOKUP(_xlfn.CONCAT(Timetable!$B6, " ", Timetable!K$3), Timetable!$J$28:$J$39, Timetable!$E$28:$E$39, " ", 0) &amp; " Part 2", _xlfn.XLOOKUP(_xlfn.CONCAT(Timetable!$B6, " ", Timetable!K$3), Timetable!$J$28:$J$39, Timetable!$E$28:$E$39, " ", 0) &amp; " Part 1", _xlfn.XLOOKUP(_xlfn.CONCAT(Timetable!$B6, " ", Timetable!K$3), Timetable!$J$28:$J$39, Timetable!$E$28:$E$39, " ", 0)), _xlfn.XLOOKUP(_xlfn.CONCAT(Timetable!$B6, " ", Timetable!K$3), Timetable!$K$28:$K$39, Timetable!$E$28:$E$39, " ", 0) &lt;&gt; " ", _xlfn.XLOOKUP(_xlfn.CONCAT(Timetable!$B6, " ", Timetable!K$3), Timetable!$K$28:$K$39, Timetable!$E$28:$E$39, " ", 0) &amp; " Part 2", TRUE, "None")</f>
        <v>None</v>
      </c>
    </row>
    <row r="4" spans="1:12" x14ac:dyDescent="0.35">
      <c r="A4" t="s">
        <v>16</v>
      </c>
      <c r="B4" t="s">
        <v>17</v>
      </c>
      <c r="D4" t="str" cm="1">
        <f t="array" ref="D4">_xlfn.IFS(_xlfn.XLOOKUP(_xlfn.CONCAT(Timetable!$B7, " ", Timetable!C$3), Timetable!$J$28:$J$39, Timetable!$E$28:$E$39, " ", 0) &lt;&gt; " ", IF(E4 = _xlfn.XLOOKUP(_xlfn.CONCAT(Timetable!$B7, " ", Timetable!C$3), Timetable!$J$28:$J$39, Timetable!$E$28:$E$39, " ", 0) &amp; " Part 2", _xlfn.XLOOKUP(_xlfn.CONCAT(Timetable!$B7, " ", Timetable!C$3), Timetable!$J$28:$J$39, Timetable!$E$28:$E$39, " ", 0) &amp; " Part 1", _xlfn.XLOOKUP(_xlfn.CONCAT(Timetable!$B7, " ", Timetable!C$3), Timetable!$J$28:$J$39, Timetable!$E$28:$E$39, " ", 0)), _xlfn.XLOOKUP(_xlfn.CONCAT(Timetable!$B7, " ", Timetable!C$3), Timetable!$K$28:$K$39, Timetable!$E$28:$E$39, " ", 0) &lt;&gt; " ", _xlfn.XLOOKUP(_xlfn.CONCAT(Timetable!$B7, " ", Timetable!C$3), Timetable!$K$28:$K$39, Timetable!$E$28:$E$39, " ", 0) &amp; " Part 2", TRUE, "None")</f>
        <v>Lecture</v>
      </c>
      <c r="E4" t="str" cm="1">
        <f t="array" ref="E4">_xlfn.IFS(_xlfn.XLOOKUP(_xlfn.CONCAT(Timetable!$B7, " ", Timetable!D$3), Timetable!$J$28:$J$39, Timetable!$E$28:$E$39, " ", 0) &lt;&gt; " ", IF(F4 = _xlfn.XLOOKUP(_xlfn.CONCAT(Timetable!$B7, " ", Timetable!D$3), Timetable!$J$28:$J$39, Timetable!$E$28:$E$39, " ", 0) &amp; " Part 2", _xlfn.XLOOKUP(_xlfn.CONCAT(Timetable!$B7, " ", Timetable!D$3), Timetable!$J$28:$J$39, Timetable!$E$28:$E$39, " ", 0) &amp; " Part 1", _xlfn.XLOOKUP(_xlfn.CONCAT(Timetable!$B7, " ", Timetable!D$3), Timetable!$J$28:$J$39, Timetable!$E$28:$E$39, " ", 0)), _xlfn.XLOOKUP(_xlfn.CONCAT(Timetable!$B7, " ", Timetable!D$3), Timetable!$K$28:$K$39, Timetable!$E$28:$E$39, " ", 0) &lt;&gt; " ", _xlfn.XLOOKUP(_xlfn.CONCAT(Timetable!$B7, " ", Timetable!D$3), Timetable!$K$28:$K$39, Timetable!$E$28:$E$39, " ", 0) &amp; " Part 2", TRUE, "None")</f>
        <v>None</v>
      </c>
      <c r="F4" t="str" cm="1">
        <f t="array" ref="F4">_xlfn.IFS(_xlfn.XLOOKUP(_xlfn.CONCAT(Timetable!$B7, " ", Timetable!E$3), Timetable!$J$28:$J$39, Timetable!$E$28:$E$39, " ", 0) &lt;&gt; " ", IF(G4 = _xlfn.XLOOKUP(_xlfn.CONCAT(Timetable!$B7, " ", Timetable!E$3), Timetable!$J$28:$J$39, Timetable!$E$28:$E$39, " ", 0) &amp; " Part 2", _xlfn.XLOOKUP(_xlfn.CONCAT(Timetable!$B7, " ", Timetable!E$3), Timetable!$J$28:$J$39, Timetable!$E$28:$E$39, " ", 0) &amp; " Part 1", _xlfn.XLOOKUP(_xlfn.CONCAT(Timetable!$B7, " ", Timetable!E$3), Timetable!$J$28:$J$39, Timetable!$E$28:$E$39, " ", 0)), _xlfn.XLOOKUP(_xlfn.CONCAT(Timetable!$B7, " ", Timetable!E$3), Timetable!$K$28:$K$39, Timetable!$E$28:$E$39, " ", 0) &lt;&gt; " ", _xlfn.XLOOKUP(_xlfn.CONCAT(Timetable!$B7, " ", Timetable!E$3), Timetable!$K$28:$K$39, Timetable!$E$28:$E$39, " ", 0) &amp; " Part 2", TRUE, "None")</f>
        <v>None</v>
      </c>
      <c r="G4" t="str" cm="1">
        <f t="array" ref="G4">_xlfn.IFS(_xlfn.XLOOKUP(_xlfn.CONCAT(Timetable!$B7, " ", Timetable!F$3), Timetable!$J$28:$J$39, Timetable!$E$28:$E$39, " ", 0) &lt;&gt; " ", IF(H4 = _xlfn.XLOOKUP(_xlfn.CONCAT(Timetable!$B7, " ", Timetable!F$3), Timetable!$J$28:$J$39, Timetable!$E$28:$E$39, " ", 0) &amp; " Part 2", _xlfn.XLOOKUP(_xlfn.CONCAT(Timetable!$B7, " ", Timetable!F$3), Timetable!$J$28:$J$39, Timetable!$E$28:$E$39, " ", 0) &amp; " Part 1", _xlfn.XLOOKUP(_xlfn.CONCAT(Timetable!$B7, " ", Timetable!F$3), Timetable!$J$28:$J$39, Timetable!$E$28:$E$39, " ", 0)), _xlfn.XLOOKUP(_xlfn.CONCAT(Timetable!$B7, " ", Timetable!F$3), Timetable!$K$28:$K$39, Timetable!$E$28:$E$39, " ", 0) &lt;&gt; " ", _xlfn.XLOOKUP(_xlfn.CONCAT(Timetable!$B7, " ", Timetable!F$3), Timetable!$K$28:$K$39, Timetable!$E$28:$E$39, " ", 0) &amp; " Part 2", TRUE, "None")</f>
        <v>None</v>
      </c>
      <c r="H4" t="str" cm="1">
        <f t="array" ref="H4">_xlfn.IFS(_xlfn.XLOOKUP(_xlfn.CONCAT(Timetable!$B7, " ", Timetable!G$3), Timetable!$J$28:$J$39, Timetable!$E$28:$E$39, " ", 0) &lt;&gt; " ", IF(I4 = _xlfn.XLOOKUP(_xlfn.CONCAT(Timetable!$B7, " ", Timetable!G$3), Timetable!$J$28:$J$39, Timetable!$E$28:$E$39, " ", 0) &amp; " Part 2", _xlfn.XLOOKUP(_xlfn.CONCAT(Timetable!$B7, " ", Timetable!G$3), Timetable!$J$28:$J$39, Timetable!$E$28:$E$39, " ", 0) &amp; " Part 1", _xlfn.XLOOKUP(_xlfn.CONCAT(Timetable!$B7, " ", Timetable!G$3), Timetable!$J$28:$J$39, Timetable!$E$28:$E$39, " ", 0)), _xlfn.XLOOKUP(_xlfn.CONCAT(Timetable!$B7, " ", Timetable!G$3), Timetable!$K$28:$K$39, Timetable!$E$28:$E$39, " ", 0) &lt;&gt; " ", _xlfn.XLOOKUP(_xlfn.CONCAT(Timetable!$B7, " ", Timetable!G$3), Timetable!$K$28:$K$39, Timetable!$E$28:$E$39, " ", 0) &amp; " Part 2", TRUE, "None")</f>
        <v>Lecture</v>
      </c>
      <c r="I4" t="str" cm="1">
        <f t="array" ref="I4">_xlfn.IFS(_xlfn.XLOOKUP(_xlfn.CONCAT(Timetable!$B7, " ", Timetable!H$3), Timetable!$J$28:$J$39, Timetable!$E$28:$E$39, " ", 0) &lt;&gt; " ", IF(J4 = _xlfn.XLOOKUP(_xlfn.CONCAT(Timetable!$B7, " ", Timetable!H$3), Timetable!$J$28:$J$39, Timetable!$E$28:$E$39, " ", 0) &amp; " Part 2", _xlfn.XLOOKUP(_xlfn.CONCAT(Timetable!$B7, " ", Timetable!H$3), Timetable!$J$28:$J$39, Timetable!$E$28:$E$39, " ", 0) &amp; " Part 1", _xlfn.XLOOKUP(_xlfn.CONCAT(Timetable!$B7, " ", Timetable!H$3), Timetable!$J$28:$J$39, Timetable!$E$28:$E$39, " ", 0)), _xlfn.XLOOKUP(_xlfn.CONCAT(Timetable!$B7, " ", Timetable!H$3), Timetable!$K$28:$K$39, Timetable!$E$28:$E$39, " ", 0) &lt;&gt; " ", _xlfn.XLOOKUP(_xlfn.CONCAT(Timetable!$B7, " ", Timetable!H$3), Timetable!$K$28:$K$39, Timetable!$E$28:$E$39, " ", 0) &amp; " Part 2", TRUE, "None")</f>
        <v>None</v>
      </c>
      <c r="J4" t="str" cm="1">
        <f t="array" ref="J4">_xlfn.IFS(_xlfn.XLOOKUP(_xlfn.CONCAT(Timetable!$B7, " ", Timetable!I$3), Timetable!$J$28:$J$39, Timetable!$E$28:$E$39, " ", 0) &lt;&gt; " ", IF(K4 = _xlfn.XLOOKUP(_xlfn.CONCAT(Timetable!$B7, " ", Timetable!I$3), Timetable!$J$28:$J$39, Timetable!$E$28:$E$39, " ", 0) &amp; " Part 2", _xlfn.XLOOKUP(_xlfn.CONCAT(Timetable!$B7, " ", Timetable!I$3), Timetable!$J$28:$J$39, Timetable!$E$28:$E$39, " ", 0) &amp; " Part 1", _xlfn.XLOOKUP(_xlfn.CONCAT(Timetable!$B7, " ", Timetable!I$3), Timetable!$J$28:$J$39, Timetable!$E$28:$E$39, " ", 0)), _xlfn.XLOOKUP(_xlfn.CONCAT(Timetable!$B7, " ", Timetable!I$3), Timetable!$K$28:$K$39, Timetable!$E$28:$E$39, " ", 0) &lt;&gt; " ", _xlfn.XLOOKUP(_xlfn.CONCAT(Timetable!$B7, " ", Timetable!I$3), Timetable!$K$28:$K$39, Timetable!$E$28:$E$39, " ", 0) &amp; " Part 2", TRUE, "None")</f>
        <v>None</v>
      </c>
      <c r="K4" t="str" cm="1">
        <f t="array" ref="K4">_xlfn.IFS(_xlfn.XLOOKUP(_xlfn.CONCAT(Timetable!$B7, " ", Timetable!J$3), Timetable!$J$28:$J$39, Timetable!$E$28:$E$39, " ", 0) &lt;&gt; " ", IF(L4 = _xlfn.XLOOKUP(_xlfn.CONCAT(Timetable!$B7, " ", Timetable!J$3), Timetable!$J$28:$J$39, Timetable!$E$28:$E$39, " ", 0) &amp; " Part 2", _xlfn.XLOOKUP(_xlfn.CONCAT(Timetable!$B7, " ", Timetable!J$3), Timetable!$J$28:$J$39, Timetable!$E$28:$E$39, " ", 0) &amp; " Part 1", _xlfn.XLOOKUP(_xlfn.CONCAT(Timetable!$B7, " ", Timetable!J$3), Timetable!$J$28:$J$39, Timetable!$E$28:$E$39, " ", 0)), _xlfn.XLOOKUP(_xlfn.CONCAT(Timetable!$B7, " ", Timetable!J$3), Timetable!$K$28:$K$39, Timetable!$E$28:$E$39, " ", 0) &lt;&gt; " ", _xlfn.XLOOKUP(_xlfn.CONCAT(Timetable!$B7, " ", Timetable!J$3), Timetable!$K$28:$K$39, Timetable!$E$28:$E$39, " ", 0) &amp; " Part 2", TRUE, "None")</f>
        <v>None</v>
      </c>
      <c r="L4" t="str" cm="1">
        <f t="array" ref="L4">_xlfn.IFS(_xlfn.XLOOKUP(_xlfn.CONCAT(Timetable!$B7, " ", Timetable!K$3), Timetable!$J$28:$J$39, Timetable!$E$28:$E$39, " ", 0) &lt;&gt; " ", IF(M4 = _xlfn.XLOOKUP(_xlfn.CONCAT(Timetable!$B7, " ", Timetable!K$3), Timetable!$J$28:$J$39, Timetable!$E$28:$E$39, " ", 0) &amp; " Part 2", _xlfn.XLOOKUP(_xlfn.CONCAT(Timetable!$B7, " ", Timetable!K$3), Timetable!$J$28:$J$39, Timetable!$E$28:$E$39, " ", 0) &amp; " Part 1", _xlfn.XLOOKUP(_xlfn.CONCAT(Timetable!$B7, " ", Timetable!K$3), Timetable!$J$28:$J$39, Timetable!$E$28:$E$39, " ", 0)), _xlfn.XLOOKUP(_xlfn.CONCAT(Timetable!$B7, " ", Timetable!K$3), Timetable!$K$28:$K$39, Timetable!$E$28:$E$39, " ", 0) &lt;&gt; " ", _xlfn.XLOOKUP(_xlfn.CONCAT(Timetable!$B7, " ", Timetable!K$3), Timetable!$K$28:$K$39, Timetable!$E$28:$E$39, " ", 0) &amp; " Part 2", TRUE, "None")</f>
        <v>None</v>
      </c>
    </row>
    <row r="5" spans="1:12" x14ac:dyDescent="0.35">
      <c r="A5" t="s">
        <v>19</v>
      </c>
      <c r="B5" t="s">
        <v>20</v>
      </c>
      <c r="D5" t="str" cm="1">
        <f t="array" ref="D5">_xlfn.IFS(_xlfn.XLOOKUP(_xlfn.CONCAT(Timetable!$B8, " ", Timetable!C$3), Timetable!$J$28:$J$39, Timetable!$E$28:$E$39, " ", 0) &lt;&gt; " ", IF(E5 = _xlfn.XLOOKUP(_xlfn.CONCAT(Timetable!$B8, " ", Timetable!C$3), Timetable!$J$28:$J$39, Timetable!$E$28:$E$39, " ", 0) &amp; " Part 2", _xlfn.XLOOKUP(_xlfn.CONCAT(Timetable!$B8, " ", Timetable!C$3), Timetable!$J$28:$J$39, Timetable!$E$28:$E$39, " ", 0) &amp; " Part 1", _xlfn.XLOOKUP(_xlfn.CONCAT(Timetable!$B8, " ", Timetable!C$3), Timetable!$J$28:$J$39, Timetable!$E$28:$E$39, " ", 0)), _xlfn.XLOOKUP(_xlfn.CONCAT(Timetable!$B8, " ", Timetable!C$3), Timetable!$K$28:$K$39, Timetable!$E$28:$E$39, " ", 0) &lt;&gt; " ", _xlfn.XLOOKUP(_xlfn.CONCAT(Timetable!$B8, " ", Timetable!C$3), Timetable!$K$28:$K$39, Timetable!$E$28:$E$39, " ", 0) &amp; " Part 2", TRUE, "None")</f>
        <v>None</v>
      </c>
      <c r="E5" t="str" cm="1">
        <f t="array" ref="E5">_xlfn.IFS(_xlfn.XLOOKUP(_xlfn.CONCAT(Timetable!$B8, " ", Timetable!D$3), Timetable!$J$28:$J$39, Timetable!$E$28:$E$39, " ", 0) &lt;&gt; " ", IF(F5 = _xlfn.XLOOKUP(_xlfn.CONCAT(Timetable!$B8, " ", Timetable!D$3), Timetable!$J$28:$J$39, Timetable!$E$28:$E$39, " ", 0) &amp; " Part 2", _xlfn.XLOOKUP(_xlfn.CONCAT(Timetable!$B8, " ", Timetable!D$3), Timetable!$J$28:$J$39, Timetable!$E$28:$E$39, " ", 0) &amp; " Part 1", _xlfn.XLOOKUP(_xlfn.CONCAT(Timetable!$B8, " ", Timetable!D$3), Timetable!$J$28:$J$39, Timetable!$E$28:$E$39, " ", 0)), _xlfn.XLOOKUP(_xlfn.CONCAT(Timetable!$B8, " ", Timetable!D$3), Timetable!$K$28:$K$39, Timetable!$E$28:$E$39, " ", 0) &lt;&gt; " ", _xlfn.XLOOKUP(_xlfn.CONCAT(Timetable!$B8, " ", Timetable!D$3), Timetable!$K$28:$K$39, Timetable!$E$28:$E$39, " ", 0) &amp; " Part 2", TRUE, "None")</f>
        <v>Lecture</v>
      </c>
      <c r="F5" t="str" cm="1">
        <f t="array" ref="F5">_xlfn.IFS(_xlfn.XLOOKUP(_xlfn.CONCAT(Timetable!$B8, " ", Timetable!E$3), Timetable!$J$28:$J$39, Timetable!$E$28:$E$39, " ", 0) &lt;&gt; " ", IF(G5 = _xlfn.XLOOKUP(_xlfn.CONCAT(Timetable!$B8, " ", Timetable!E$3), Timetable!$J$28:$J$39, Timetable!$E$28:$E$39, " ", 0) &amp; " Part 2", _xlfn.XLOOKUP(_xlfn.CONCAT(Timetable!$B8, " ", Timetable!E$3), Timetable!$J$28:$J$39, Timetable!$E$28:$E$39, " ", 0) &amp; " Part 1", _xlfn.XLOOKUP(_xlfn.CONCAT(Timetable!$B8, " ", Timetable!E$3), Timetable!$J$28:$J$39, Timetable!$E$28:$E$39, " ", 0)), _xlfn.XLOOKUP(_xlfn.CONCAT(Timetable!$B8, " ", Timetable!E$3), Timetable!$K$28:$K$39, Timetable!$E$28:$E$39, " ", 0) &lt;&gt; " ", _xlfn.XLOOKUP(_xlfn.CONCAT(Timetable!$B8, " ", Timetable!E$3), Timetable!$K$28:$K$39, Timetable!$E$28:$E$39, " ", 0) &amp; " Part 2", TRUE, "None")</f>
        <v>None</v>
      </c>
      <c r="G5" t="str" cm="1">
        <f t="array" ref="G5">_xlfn.IFS(_xlfn.XLOOKUP(_xlfn.CONCAT(Timetable!$B8, " ", Timetable!F$3), Timetable!$J$28:$J$39, Timetable!$E$28:$E$39, " ", 0) &lt;&gt; " ", IF(H5 = _xlfn.XLOOKUP(_xlfn.CONCAT(Timetable!$B8, " ", Timetable!F$3), Timetable!$J$28:$J$39, Timetable!$E$28:$E$39, " ", 0) &amp; " Part 2", _xlfn.XLOOKUP(_xlfn.CONCAT(Timetable!$B8, " ", Timetable!F$3), Timetable!$J$28:$J$39, Timetable!$E$28:$E$39, " ", 0) &amp; " Part 1", _xlfn.XLOOKUP(_xlfn.CONCAT(Timetable!$B8, " ", Timetable!F$3), Timetable!$J$28:$J$39, Timetable!$E$28:$E$39, " ", 0)), _xlfn.XLOOKUP(_xlfn.CONCAT(Timetable!$B8, " ", Timetable!F$3), Timetable!$K$28:$K$39, Timetable!$E$28:$E$39, " ", 0) &lt;&gt; " ", _xlfn.XLOOKUP(_xlfn.CONCAT(Timetable!$B8, " ", Timetable!F$3), Timetable!$K$28:$K$39, Timetable!$E$28:$E$39, " ", 0) &amp; " Part 2", TRUE, "None")</f>
        <v>Lecture</v>
      </c>
      <c r="H5" t="str" cm="1">
        <f t="array" ref="H5">_xlfn.IFS(_xlfn.XLOOKUP(_xlfn.CONCAT(Timetable!$B8, " ", Timetable!G$3), Timetable!$J$28:$J$39, Timetable!$E$28:$E$39, " ", 0) &lt;&gt; " ", IF(I5 = _xlfn.XLOOKUP(_xlfn.CONCAT(Timetable!$B8, " ", Timetable!G$3), Timetable!$J$28:$J$39, Timetable!$E$28:$E$39, " ", 0) &amp; " Part 2", _xlfn.XLOOKUP(_xlfn.CONCAT(Timetable!$B8, " ", Timetable!G$3), Timetable!$J$28:$J$39, Timetable!$E$28:$E$39, " ", 0) &amp; " Part 1", _xlfn.XLOOKUP(_xlfn.CONCAT(Timetable!$B8, " ", Timetable!G$3), Timetable!$J$28:$J$39, Timetable!$E$28:$E$39, " ", 0)), _xlfn.XLOOKUP(_xlfn.CONCAT(Timetable!$B8, " ", Timetable!G$3), Timetable!$K$28:$K$39, Timetable!$E$28:$E$39, " ", 0) &lt;&gt; " ", _xlfn.XLOOKUP(_xlfn.CONCAT(Timetable!$B8, " ", Timetable!G$3), Timetable!$K$28:$K$39, Timetable!$E$28:$E$39, " ", 0) &amp; " Part 2", TRUE, "None")</f>
        <v>None</v>
      </c>
      <c r="I5" t="str" cm="1">
        <f t="array" ref="I5">_xlfn.IFS(_xlfn.XLOOKUP(_xlfn.CONCAT(Timetable!$B8, " ", Timetable!H$3), Timetable!$J$28:$J$39, Timetable!$E$28:$E$39, " ", 0) &lt;&gt; " ", IF(J5 = _xlfn.XLOOKUP(_xlfn.CONCAT(Timetable!$B8, " ", Timetable!H$3), Timetable!$J$28:$J$39, Timetable!$E$28:$E$39, " ", 0) &amp; " Part 2", _xlfn.XLOOKUP(_xlfn.CONCAT(Timetable!$B8, " ", Timetable!H$3), Timetable!$J$28:$J$39, Timetable!$E$28:$E$39, " ", 0) &amp; " Part 1", _xlfn.XLOOKUP(_xlfn.CONCAT(Timetable!$B8, " ", Timetable!H$3), Timetable!$J$28:$J$39, Timetable!$E$28:$E$39, " ", 0)), _xlfn.XLOOKUP(_xlfn.CONCAT(Timetable!$B8, " ", Timetable!H$3), Timetable!$K$28:$K$39, Timetable!$E$28:$E$39, " ", 0) &lt;&gt; " ", _xlfn.XLOOKUP(_xlfn.CONCAT(Timetable!$B8, " ", Timetable!H$3), Timetable!$K$28:$K$39, Timetable!$E$28:$E$39, " ", 0) &amp; " Part 2", TRUE, "None")</f>
        <v>None</v>
      </c>
      <c r="J5" t="str" cm="1">
        <f t="array" ref="J5">_xlfn.IFS(_xlfn.XLOOKUP(_xlfn.CONCAT(Timetable!$B8, " ", Timetable!I$3), Timetable!$J$28:$J$39, Timetable!$E$28:$E$39, " ", 0) &lt;&gt; " ", IF(K5 = _xlfn.XLOOKUP(_xlfn.CONCAT(Timetable!$B8, " ", Timetable!I$3), Timetable!$J$28:$J$39, Timetable!$E$28:$E$39, " ", 0) &amp; " Part 2", _xlfn.XLOOKUP(_xlfn.CONCAT(Timetable!$B8, " ", Timetable!I$3), Timetable!$J$28:$J$39, Timetable!$E$28:$E$39, " ", 0) &amp; " Part 1", _xlfn.XLOOKUP(_xlfn.CONCAT(Timetable!$B8, " ", Timetable!I$3), Timetable!$J$28:$J$39, Timetable!$E$28:$E$39, " ", 0)), _xlfn.XLOOKUP(_xlfn.CONCAT(Timetable!$B8, " ", Timetable!I$3), Timetable!$K$28:$K$39, Timetable!$E$28:$E$39, " ", 0) &lt;&gt; " ", _xlfn.XLOOKUP(_xlfn.CONCAT(Timetable!$B8, " ", Timetable!I$3), Timetable!$K$28:$K$39, Timetable!$E$28:$E$39, " ", 0) &amp; " Part 2", TRUE, "None")</f>
        <v>None</v>
      </c>
      <c r="K5" t="str" cm="1">
        <f t="array" ref="K5">_xlfn.IFS(_xlfn.XLOOKUP(_xlfn.CONCAT(Timetable!$B8, " ", Timetable!J$3), Timetable!$J$28:$J$39, Timetable!$E$28:$E$39, " ", 0) &lt;&gt; " ", IF(L5 = _xlfn.XLOOKUP(_xlfn.CONCAT(Timetable!$B8, " ", Timetable!J$3), Timetable!$J$28:$J$39, Timetable!$E$28:$E$39, " ", 0) &amp; " Part 2", _xlfn.XLOOKUP(_xlfn.CONCAT(Timetable!$B8, " ", Timetable!J$3), Timetable!$J$28:$J$39, Timetable!$E$28:$E$39, " ", 0) &amp; " Part 1", _xlfn.XLOOKUP(_xlfn.CONCAT(Timetable!$B8, " ", Timetable!J$3), Timetable!$J$28:$J$39, Timetable!$E$28:$E$39, " ", 0)), _xlfn.XLOOKUP(_xlfn.CONCAT(Timetable!$B8, " ", Timetable!J$3), Timetable!$K$28:$K$39, Timetable!$E$28:$E$39, " ", 0) &lt;&gt; " ", _xlfn.XLOOKUP(_xlfn.CONCAT(Timetable!$B8, " ", Timetable!J$3), Timetable!$K$28:$K$39, Timetable!$E$28:$E$39, " ", 0) &amp; " Part 2", TRUE, "None")</f>
        <v>None</v>
      </c>
      <c r="L5" t="str" cm="1">
        <f t="array" ref="L5">_xlfn.IFS(_xlfn.XLOOKUP(_xlfn.CONCAT(Timetable!$B8, " ", Timetable!K$3), Timetable!$J$28:$J$39, Timetable!$E$28:$E$39, " ", 0) &lt;&gt; " ", IF(M5 = _xlfn.XLOOKUP(_xlfn.CONCAT(Timetable!$B8, " ", Timetable!K$3), Timetable!$J$28:$J$39, Timetable!$E$28:$E$39, " ", 0) &amp; " Part 2", _xlfn.XLOOKUP(_xlfn.CONCAT(Timetable!$B8, " ", Timetable!K$3), Timetable!$J$28:$J$39, Timetable!$E$28:$E$39, " ", 0) &amp; " Part 1", _xlfn.XLOOKUP(_xlfn.CONCAT(Timetable!$B8, " ", Timetable!K$3), Timetable!$J$28:$J$39, Timetable!$E$28:$E$39, " ", 0)), _xlfn.XLOOKUP(_xlfn.CONCAT(Timetable!$B8, " ", Timetable!K$3), Timetable!$K$28:$K$39, Timetable!$E$28:$E$39, " ", 0) &lt;&gt; " ", _xlfn.XLOOKUP(_xlfn.CONCAT(Timetable!$B8, " ", Timetable!K$3), Timetable!$K$28:$K$39, Timetable!$E$28:$E$39, " ", 0) &amp; " Part 2", TRUE, "None")</f>
        <v>None</v>
      </c>
    </row>
    <row r="6" spans="1:12" x14ac:dyDescent="0.35">
      <c r="A6" t="s">
        <v>21</v>
      </c>
      <c r="B6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E93CA-5C35-47BC-B022-E4555804D2B2}">
  <dimension ref="B2:H25"/>
  <sheetViews>
    <sheetView workbookViewId="0">
      <selection activeCell="F16" sqref="F16"/>
    </sheetView>
  </sheetViews>
  <sheetFormatPr defaultRowHeight="14.5" x14ac:dyDescent="0.35"/>
  <cols>
    <col min="2" max="2" width="11.1796875" bestFit="1" customWidth="1"/>
    <col min="3" max="3" width="21.54296875" bestFit="1" customWidth="1"/>
    <col min="6" max="6" width="11.1796875" bestFit="1" customWidth="1"/>
    <col min="7" max="7" width="20.54296875" bestFit="1" customWidth="1"/>
  </cols>
  <sheetData>
    <row r="2" spans="2:8" x14ac:dyDescent="0.35">
      <c r="B2" s="3" t="s">
        <v>1</v>
      </c>
      <c r="C2" s="3" t="s">
        <v>2</v>
      </c>
      <c r="F2" s="3" t="s">
        <v>16</v>
      </c>
      <c r="G2" s="3" t="s">
        <v>17</v>
      </c>
    </row>
    <row r="3" spans="2:8" x14ac:dyDescent="0.35">
      <c r="B3" t="s">
        <v>3</v>
      </c>
      <c r="C3" t="s">
        <v>4</v>
      </c>
      <c r="D3" t="s">
        <v>5</v>
      </c>
      <c r="F3" t="s">
        <v>3</v>
      </c>
      <c r="G3" t="s">
        <v>4</v>
      </c>
      <c r="H3" t="s">
        <v>13</v>
      </c>
    </row>
    <row r="4" spans="2:8" x14ac:dyDescent="0.35">
      <c r="C4" t="s">
        <v>25</v>
      </c>
      <c r="D4" t="s">
        <v>5</v>
      </c>
      <c r="G4" t="s">
        <v>25</v>
      </c>
      <c r="H4" t="s">
        <v>5</v>
      </c>
    </row>
    <row r="5" spans="2:8" x14ac:dyDescent="0.35">
      <c r="B5" t="s">
        <v>7</v>
      </c>
      <c r="C5" t="s">
        <v>8</v>
      </c>
      <c r="D5" s="5">
        <v>0.5</v>
      </c>
      <c r="F5" t="s">
        <v>7</v>
      </c>
      <c r="G5" t="s">
        <v>10</v>
      </c>
      <c r="H5" s="5">
        <v>0.5</v>
      </c>
    </row>
    <row r="6" spans="2:8" x14ac:dyDescent="0.35">
      <c r="C6" t="s">
        <v>9</v>
      </c>
      <c r="D6" s="5">
        <v>0.25</v>
      </c>
      <c r="G6" t="s">
        <v>9</v>
      </c>
      <c r="H6" s="5">
        <v>0.25</v>
      </c>
    </row>
    <row r="7" spans="2:8" x14ac:dyDescent="0.35">
      <c r="C7" t="s">
        <v>10</v>
      </c>
      <c r="D7" s="5">
        <v>0.25</v>
      </c>
      <c r="G7" t="s">
        <v>18</v>
      </c>
      <c r="H7" s="5">
        <v>0.25</v>
      </c>
    </row>
    <row r="9" spans="2:8" x14ac:dyDescent="0.35">
      <c r="B9" s="3" t="s">
        <v>11</v>
      </c>
      <c r="C9" s="3" t="s">
        <v>12</v>
      </c>
      <c r="F9" s="3" t="s">
        <v>19</v>
      </c>
      <c r="G9" s="3" t="s">
        <v>20</v>
      </c>
    </row>
    <row r="10" spans="2:8" x14ac:dyDescent="0.35">
      <c r="B10" t="s">
        <v>3</v>
      </c>
      <c r="C10" t="s">
        <v>4</v>
      </c>
      <c r="D10" t="s">
        <v>13</v>
      </c>
      <c r="F10" t="s">
        <v>3</v>
      </c>
      <c r="G10" t="s">
        <v>4</v>
      </c>
      <c r="H10" t="s">
        <v>13</v>
      </c>
    </row>
    <row r="11" spans="2:8" x14ac:dyDescent="0.35">
      <c r="C11" t="s">
        <v>25</v>
      </c>
      <c r="D11" t="s">
        <v>5</v>
      </c>
      <c r="G11" t="s">
        <v>25</v>
      </c>
      <c r="H11" t="s">
        <v>5</v>
      </c>
    </row>
    <row r="12" spans="2:8" x14ac:dyDescent="0.35">
      <c r="B12" t="s">
        <v>7</v>
      </c>
      <c r="C12" t="s">
        <v>8</v>
      </c>
      <c r="D12" s="5">
        <v>0.5</v>
      </c>
      <c r="F12" t="s">
        <v>7</v>
      </c>
      <c r="G12" t="s">
        <v>8</v>
      </c>
      <c r="H12" s="5">
        <v>0.5</v>
      </c>
    </row>
    <row r="13" spans="2:8" x14ac:dyDescent="0.35">
      <c r="C13" t="s">
        <v>9</v>
      </c>
      <c r="D13" s="5">
        <v>0.5</v>
      </c>
      <c r="G13" t="s">
        <v>27</v>
      </c>
      <c r="H13" s="5">
        <v>0.25</v>
      </c>
    </row>
    <row r="14" spans="2:8" x14ac:dyDescent="0.35">
      <c r="D14" s="4"/>
      <c r="G14" t="s">
        <v>9</v>
      </c>
      <c r="H14" s="5">
        <v>0.25</v>
      </c>
    </row>
    <row r="16" spans="2:8" x14ac:dyDescent="0.35">
      <c r="B16" s="3" t="s">
        <v>14</v>
      </c>
      <c r="C16" s="3" t="s">
        <v>15</v>
      </c>
      <c r="F16" s="3" t="s">
        <v>21</v>
      </c>
      <c r="G16" s="3" t="s">
        <v>22</v>
      </c>
    </row>
    <row r="17" spans="2:8" x14ac:dyDescent="0.35">
      <c r="B17" t="s">
        <v>3</v>
      </c>
      <c r="C17" t="s">
        <v>4</v>
      </c>
      <c r="D17" t="s">
        <v>13</v>
      </c>
      <c r="F17" t="s">
        <v>3</v>
      </c>
      <c r="G17" t="s">
        <v>4</v>
      </c>
      <c r="H17" t="s">
        <v>13</v>
      </c>
    </row>
    <row r="18" spans="2:8" x14ac:dyDescent="0.35">
      <c r="C18" t="s">
        <v>26</v>
      </c>
      <c r="D18" t="s">
        <v>5</v>
      </c>
      <c r="G18" t="s">
        <v>28</v>
      </c>
      <c r="H18" t="s">
        <v>5</v>
      </c>
    </row>
    <row r="19" spans="2:8" x14ac:dyDescent="0.35">
      <c r="B19" t="s">
        <v>7</v>
      </c>
      <c r="C19" t="s">
        <v>8</v>
      </c>
      <c r="D19" s="5">
        <v>0.66</v>
      </c>
      <c r="F19" t="s">
        <v>7</v>
      </c>
      <c r="G19" t="s">
        <v>23</v>
      </c>
      <c r="H19" s="5">
        <v>0.05</v>
      </c>
    </row>
    <row r="20" spans="2:8" x14ac:dyDescent="0.35">
      <c r="C20" t="s">
        <v>27</v>
      </c>
      <c r="D20" s="5">
        <f>0.33/2</f>
        <v>0.16500000000000001</v>
      </c>
      <c r="G20" t="s">
        <v>10</v>
      </c>
      <c r="H20" s="5">
        <v>0.15</v>
      </c>
    </row>
    <row r="21" spans="2:8" x14ac:dyDescent="0.35">
      <c r="C21" t="s">
        <v>27</v>
      </c>
      <c r="D21" s="5">
        <f>0.33/2</f>
        <v>0.16500000000000001</v>
      </c>
      <c r="G21" t="s">
        <v>10</v>
      </c>
      <c r="H21" s="5">
        <v>0.3</v>
      </c>
    </row>
    <row r="22" spans="2:8" x14ac:dyDescent="0.35">
      <c r="G22" t="s">
        <v>18</v>
      </c>
      <c r="H22" s="5">
        <v>0.15</v>
      </c>
    </row>
    <row r="23" spans="2:8" x14ac:dyDescent="0.35">
      <c r="G23" t="s">
        <v>10</v>
      </c>
      <c r="H23" s="5">
        <v>0.2</v>
      </c>
    </row>
    <row r="24" spans="2:8" x14ac:dyDescent="0.35">
      <c r="G24" t="s">
        <v>9</v>
      </c>
      <c r="H24" s="5">
        <v>0.05</v>
      </c>
    </row>
    <row r="25" spans="2:8" x14ac:dyDescent="0.35">
      <c r="G25" t="s">
        <v>24</v>
      </c>
      <c r="H25" s="5"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Timetable</vt:lpstr>
      <vt:lpstr>Calculator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Matthew Emerson</cp:lastModifiedBy>
  <dcterms:created xsi:type="dcterms:W3CDTF">2015-06-05T18:17:20Z</dcterms:created>
  <dcterms:modified xsi:type="dcterms:W3CDTF">2026-05-13T21:20:14Z</dcterms:modified>
</cp:coreProperties>
</file>