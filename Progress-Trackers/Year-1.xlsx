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Module-Summaries\Progress-Trackers\"/>
    </mc:Choice>
  </mc:AlternateContent>
  <xr:revisionPtr revIDLastSave="0" documentId="13_ncr:1_{EBF53243-DC9F-45EF-BAD9-8EEA882DC659}" xr6:coauthVersionLast="47" xr6:coauthVersionMax="47" xr10:uidLastSave="{00000000-0000-0000-0000-000000000000}"/>
  <bookViews>
    <workbookView xWindow="-110" yWindow="-110" windowWidth="19420" windowHeight="10300" xr2:uid="{1A341AAB-498B-4634-A968-4208D8C301AA}"/>
  </bookViews>
  <sheets>
    <sheet name="Graphs" sheetId="3" r:id="rId1"/>
    <sheet name="Attendence Tracker" sheetId="1" r:id="rId2"/>
    <sheet name="Formatives Tracker" sheetId="4" r:id="rId3"/>
    <sheet name="Summatives Tracker" sheetId="5" r:id="rId4"/>
    <sheet name="Calculator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3" l="1"/>
  <c r="I7" i="5"/>
  <c r="I9" i="5"/>
  <c r="J3" i="4" a="1"/>
  <c r="J3" i="4"/>
  <c r="J2" i="4" a="1"/>
  <c r="J2" i="4"/>
  <c r="H34" i="2" s="1"/>
  <c r="A3" i="4" a="1"/>
  <c r="A3" i="4" s="1"/>
  <c r="N4" i="2"/>
  <c r="N5" i="2"/>
  <c r="N6" i="2"/>
  <c r="N7" i="2"/>
  <c r="N8" i="2"/>
  <c r="N9" i="2"/>
  <c r="O4" i="2"/>
  <c r="O5" i="2"/>
  <c r="O6" i="2"/>
  <c r="O7" i="2"/>
  <c r="O8" i="2"/>
  <c r="O9" i="2"/>
  <c r="P4" i="2"/>
  <c r="P5" i="2"/>
  <c r="P6" i="2"/>
  <c r="P7" i="2"/>
  <c r="P8" i="2"/>
  <c r="P9" i="2"/>
  <c r="Q4" i="2"/>
  <c r="Q5" i="2"/>
  <c r="Q6" i="2"/>
  <c r="Q7" i="2"/>
  <c r="Q8" i="2"/>
  <c r="Q9" i="2"/>
  <c r="R4" i="2"/>
  <c r="R5" i="2"/>
  <c r="R6" i="2"/>
  <c r="R7" i="2"/>
  <c r="R8" i="2"/>
  <c r="R9" i="2"/>
  <c r="S4" i="2"/>
  <c r="S5" i="2"/>
  <c r="S6" i="2"/>
  <c r="S7" i="2"/>
  <c r="S8" i="2"/>
  <c r="S9" i="2"/>
  <c r="T4" i="2"/>
  <c r="T5" i="2"/>
  <c r="T6" i="2"/>
  <c r="T7" i="2"/>
  <c r="T8" i="2"/>
  <c r="T9" i="2"/>
  <c r="U4" i="2"/>
  <c r="U5" i="2"/>
  <c r="U6" i="2"/>
  <c r="U7" i="2"/>
  <c r="U8" i="2"/>
  <c r="U9" i="2"/>
  <c r="V4" i="2"/>
  <c r="V5" i="2"/>
  <c r="V6" i="2"/>
  <c r="V7" i="2"/>
  <c r="V8" i="2"/>
  <c r="V9" i="2"/>
  <c r="AG9" i="2"/>
  <c r="N13" i="2"/>
  <c r="N14" i="2"/>
  <c r="N15" i="2"/>
  <c r="N16" i="2"/>
  <c r="N17" i="2"/>
  <c r="N18" i="2"/>
  <c r="O13" i="2"/>
  <c r="O14" i="2"/>
  <c r="O15" i="2"/>
  <c r="O16" i="2"/>
  <c r="O17" i="2"/>
  <c r="O18" i="2"/>
  <c r="P13" i="2"/>
  <c r="P14" i="2"/>
  <c r="P15" i="2"/>
  <c r="P16" i="2"/>
  <c r="P17" i="2"/>
  <c r="P18" i="2"/>
  <c r="Q13" i="2"/>
  <c r="Q14" i="2"/>
  <c r="Q15" i="2"/>
  <c r="Q16" i="2"/>
  <c r="Q17" i="2"/>
  <c r="Q18" i="2"/>
  <c r="R13" i="2"/>
  <c r="R14" i="2"/>
  <c r="R15" i="2"/>
  <c r="R16" i="2"/>
  <c r="R17" i="2"/>
  <c r="R18" i="2"/>
  <c r="S13" i="2"/>
  <c r="S14" i="2"/>
  <c r="S15" i="2"/>
  <c r="S16" i="2"/>
  <c r="S17" i="2"/>
  <c r="S18" i="2"/>
  <c r="T13" i="2"/>
  <c r="T14" i="2"/>
  <c r="T15" i="2"/>
  <c r="T16" i="2"/>
  <c r="T17" i="2"/>
  <c r="T18" i="2"/>
  <c r="U13" i="2"/>
  <c r="U14" i="2"/>
  <c r="U15" i="2"/>
  <c r="U16" i="2"/>
  <c r="U17" i="2"/>
  <c r="U18" i="2"/>
  <c r="V13" i="2"/>
  <c r="V14" i="2"/>
  <c r="V15" i="2"/>
  <c r="V16" i="2"/>
  <c r="V17" i="2"/>
  <c r="V18" i="2"/>
  <c r="AG18" i="2"/>
  <c r="AG27" i="2"/>
  <c r="B15" i="3"/>
  <c r="A28" i="4" a="1"/>
  <c r="A28" i="4" s="1"/>
  <c r="A27" i="4" a="1"/>
  <c r="A27" i="4" s="1"/>
  <c r="A26" i="4" a="1"/>
  <c r="A26" i="4" s="1"/>
  <c r="A25" i="4" a="1"/>
  <c r="A25" i="4" s="1"/>
  <c r="A24" i="4" a="1"/>
  <c r="A24" i="4" s="1"/>
  <c r="A23" i="4" a="1"/>
  <c r="A23" i="4" s="1"/>
  <c r="A22" i="4" a="1"/>
  <c r="A22" i="4" s="1"/>
  <c r="A21" i="4" a="1"/>
  <c r="A21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 s="1"/>
  <c r="A13" i="4" a="1"/>
  <c r="A13" i="4" s="1"/>
  <c r="A12" i="4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A6" i="4" a="1"/>
  <c r="A6" i="4" s="1"/>
  <c r="A5" i="4" a="1"/>
  <c r="A5" i="4" s="1"/>
  <c r="A4" i="4" a="1"/>
  <c r="A4" i="4" s="1"/>
  <c r="A2" i="4" a="1"/>
  <c r="A2" i="4" s="1"/>
  <c r="A17" i="5" a="1"/>
  <c r="A17" i="5" s="1"/>
  <c r="A16" i="5" a="1"/>
  <c r="A16" i="5" s="1"/>
  <c r="A15" i="5" a="1"/>
  <c r="A15" i="5" s="1"/>
  <c r="A14" i="5" a="1"/>
  <c r="A14" i="5" s="1"/>
  <c r="A13" i="5" a="1"/>
  <c r="A13" i="5" s="1"/>
  <c r="A12" i="5" a="1"/>
  <c r="A12" i="5" s="1"/>
  <c r="A11" i="5" a="1"/>
  <c r="A11" i="5" s="1"/>
  <c r="A10" i="5" a="1"/>
  <c r="A10" i="5" s="1"/>
  <c r="A9" i="5" a="1"/>
  <c r="A9" i="5" s="1"/>
  <c r="A8" i="5" a="1"/>
  <c r="A8" i="5" s="1"/>
  <c r="A7" i="5" a="1"/>
  <c r="A7" i="5" s="1"/>
  <c r="A6" i="5" a="1"/>
  <c r="A6" i="5" s="1"/>
  <c r="A3" i="5" a="1"/>
  <c r="A3" i="5" s="1"/>
  <c r="A2" i="5" a="1"/>
  <c r="A2" i="5" s="1"/>
  <c r="A4" i="5" a="1"/>
  <c r="A4" i="5" s="1"/>
  <c r="A5" i="5" a="1"/>
  <c r="A5" i="5" s="1"/>
  <c r="A18" i="5" a="1"/>
  <c r="A18" i="5" s="1"/>
  <c r="I7" i="4"/>
  <c r="I8" i="4"/>
  <c r="I10" i="4"/>
  <c r="J10" i="4" a="1"/>
  <c r="J10" i="4"/>
  <c r="I9" i="4"/>
  <c r="J9" i="4" a="1"/>
  <c r="J9" i="4"/>
  <c r="J8" i="4" a="1"/>
  <c r="J8" i="4"/>
  <c r="J7" i="4" a="1"/>
  <c r="J7" i="4"/>
  <c r="J6" i="4" a="1"/>
  <c r="J6" i="4"/>
  <c r="I5" i="4"/>
  <c r="J5" i="4" a="1"/>
  <c r="J5" i="4"/>
  <c r="J4" i="4" a="1"/>
  <c r="J4" i="4"/>
  <c r="J7" i="5"/>
  <c r="K7" i="5"/>
  <c r="C41" i="2" s="1"/>
  <c r="J9" i="5"/>
  <c r="K9" i="5"/>
  <c r="K14" i="5"/>
  <c r="K16" i="5"/>
  <c r="D41" i="2"/>
  <c r="E41" i="2" s="1"/>
  <c r="K4" i="5"/>
  <c r="C42" i="2" s="1"/>
  <c r="K17" i="5"/>
  <c r="K18" i="5"/>
  <c r="D42" i="2"/>
  <c r="E42" i="2" s="1"/>
  <c r="K2" i="5"/>
  <c r="K8" i="5"/>
  <c r="K10" i="5"/>
  <c r="C43" i="2"/>
  <c r="D43" i="2"/>
  <c r="E43" i="2" s="1"/>
  <c r="K3" i="5"/>
  <c r="C44" i="2" s="1"/>
  <c r="K13" i="5"/>
  <c r="D44" i="2"/>
  <c r="E44" i="2" s="1"/>
  <c r="K6" i="5"/>
  <c r="C45" i="2" s="1"/>
  <c r="K11" i="5"/>
  <c r="K12" i="5"/>
  <c r="D45" i="2"/>
  <c r="E45" i="2" s="1"/>
  <c r="I45" i="2" s="1"/>
  <c r="K5" i="5"/>
  <c r="K15" i="5"/>
  <c r="C40" i="2"/>
  <c r="D40" i="2"/>
  <c r="E40" i="2" s="1"/>
  <c r="K33" i="2"/>
  <c r="K32" i="2"/>
  <c r="I12" i="4"/>
  <c r="K31" i="2"/>
  <c r="K35" i="2"/>
  <c r="K36" i="2"/>
  <c r="K34" i="2"/>
  <c r="J11" i="4" a="1"/>
  <c r="J11" i="4"/>
  <c r="J14" i="4" a="1"/>
  <c r="J14" i="4"/>
  <c r="J15" i="4" a="1"/>
  <c r="J15" i="4"/>
  <c r="J16" i="4" a="1"/>
  <c r="J16" i="4"/>
  <c r="J17" i="4" a="1"/>
  <c r="J17" i="4"/>
  <c r="J18" i="4" a="1"/>
  <c r="J18" i="4"/>
  <c r="J19" i="4" a="1"/>
  <c r="J19" i="4"/>
  <c r="J20" i="4" a="1"/>
  <c r="J20" i="4"/>
  <c r="J21" i="4" a="1"/>
  <c r="J21" i="4"/>
  <c r="J22" i="4" a="1"/>
  <c r="J22" i="4"/>
  <c r="J23" i="4" a="1"/>
  <c r="J23" i="4"/>
  <c r="J24" i="4" a="1"/>
  <c r="J24" i="4"/>
  <c r="J25" i="4" a="1"/>
  <c r="J25" i="4"/>
  <c r="J26" i="4" a="1"/>
  <c r="J26" i="4"/>
  <c r="J27" i="4" a="1"/>
  <c r="J27" i="4"/>
  <c r="J28" i="4" a="1"/>
  <c r="J28" i="4"/>
  <c r="J13" i="4" a="1"/>
  <c r="J13" i="4"/>
  <c r="P32" i="2"/>
  <c r="P33" i="2"/>
  <c r="P34" i="2"/>
  <c r="P35" i="2"/>
  <c r="P36" i="2"/>
  <c r="P31" i="2"/>
  <c r="E32" i="2"/>
  <c r="E33" i="2"/>
  <c r="E36" i="2"/>
  <c r="E31" i="2"/>
  <c r="D31" i="2"/>
  <c r="H32" i="2"/>
  <c r="H33" i="2"/>
  <c r="H36" i="2"/>
  <c r="H31" i="2"/>
  <c r="H35" i="2"/>
  <c r="D32" i="2"/>
  <c r="D33" i="2"/>
  <c r="D36" i="2"/>
  <c r="C32" i="2"/>
  <c r="C33" i="2"/>
  <c r="C34" i="2"/>
  <c r="C35" i="2"/>
  <c r="C36" i="2"/>
  <c r="C31" i="2"/>
  <c r="G36" i="2"/>
  <c r="G32" i="2"/>
  <c r="F33" i="2"/>
  <c r="G33" i="2"/>
  <c r="F31" i="2"/>
  <c r="G31" i="2"/>
  <c r="F36" i="2"/>
  <c r="F32" i="2"/>
  <c r="D13" i="2"/>
  <c r="E13" i="2"/>
  <c r="F13" i="2"/>
  <c r="F18" i="2"/>
  <c r="G13" i="2"/>
  <c r="H13" i="2"/>
  <c r="I13" i="2"/>
  <c r="J13" i="2"/>
  <c r="K13" i="2"/>
  <c r="L13" i="2"/>
  <c r="M13" i="2"/>
  <c r="W13" i="2"/>
  <c r="X13" i="2"/>
  <c r="Y13" i="2"/>
  <c r="Z13" i="2"/>
  <c r="AA13" i="2"/>
  <c r="AB13" i="2"/>
  <c r="AC13" i="2"/>
  <c r="AD13" i="2"/>
  <c r="AE13" i="2"/>
  <c r="AF13" i="2"/>
  <c r="D14" i="2"/>
  <c r="E14" i="2"/>
  <c r="F14" i="2"/>
  <c r="G14" i="2"/>
  <c r="H14" i="2"/>
  <c r="I14" i="2"/>
  <c r="J14" i="2"/>
  <c r="K14" i="2"/>
  <c r="L14" i="2"/>
  <c r="M14" i="2"/>
  <c r="T23" i="2"/>
  <c r="T19" i="3"/>
  <c r="U23" i="2"/>
  <c r="U19" i="3"/>
  <c r="V23" i="2"/>
  <c r="V19" i="3"/>
  <c r="W14" i="2"/>
  <c r="W23" i="2"/>
  <c r="W19" i="3"/>
  <c r="X14" i="2"/>
  <c r="X23" i="2"/>
  <c r="X19" i="3"/>
  <c r="Y14" i="2"/>
  <c r="Y23" i="2"/>
  <c r="Y19" i="3"/>
  <c r="Z14" i="2"/>
  <c r="Z23" i="2"/>
  <c r="Z19" i="3"/>
  <c r="AA14" i="2"/>
  <c r="AA23" i="2"/>
  <c r="AA19" i="3"/>
  <c r="AB14" i="2"/>
  <c r="AB23" i="2"/>
  <c r="AB19" i="3"/>
  <c r="AC14" i="2"/>
  <c r="AC23" i="2"/>
  <c r="AC19" i="3"/>
  <c r="AD14" i="2"/>
  <c r="AD23" i="2"/>
  <c r="AD19" i="3"/>
  <c r="AE14" i="2"/>
  <c r="AE23" i="2"/>
  <c r="AE19" i="3"/>
  <c r="AF14" i="2"/>
  <c r="AF23" i="2"/>
  <c r="AF19" i="3"/>
  <c r="D15" i="2"/>
  <c r="E15" i="2"/>
  <c r="F15" i="2"/>
  <c r="G15" i="2"/>
  <c r="H15" i="2"/>
  <c r="I15" i="2"/>
  <c r="J15" i="2"/>
  <c r="K15" i="2"/>
  <c r="L15" i="2"/>
  <c r="M15" i="2"/>
  <c r="T24" i="2"/>
  <c r="T20" i="3"/>
  <c r="U24" i="2"/>
  <c r="U20" i="3"/>
  <c r="V24" i="2"/>
  <c r="V20" i="3"/>
  <c r="W15" i="2"/>
  <c r="W24" i="2"/>
  <c r="W20" i="3"/>
  <c r="X15" i="2"/>
  <c r="X24" i="2"/>
  <c r="X20" i="3"/>
  <c r="Y15" i="2"/>
  <c r="Y24" i="2"/>
  <c r="Y20" i="3"/>
  <c r="Z15" i="2"/>
  <c r="Z24" i="2"/>
  <c r="Z20" i="3"/>
  <c r="AA15" i="2"/>
  <c r="AA24" i="2"/>
  <c r="AA20" i="3"/>
  <c r="AB15" i="2"/>
  <c r="AB24" i="2"/>
  <c r="AB20" i="3"/>
  <c r="AC15" i="2"/>
  <c r="AC24" i="2"/>
  <c r="AC20" i="3"/>
  <c r="AD15" i="2"/>
  <c r="AD24" i="2"/>
  <c r="AD20" i="3"/>
  <c r="AE15" i="2"/>
  <c r="AE24" i="2"/>
  <c r="AE20" i="3"/>
  <c r="AF15" i="2"/>
  <c r="AF24" i="2"/>
  <c r="AF20" i="3"/>
  <c r="D16" i="2"/>
  <c r="E16" i="2"/>
  <c r="F16" i="2"/>
  <c r="G16" i="2"/>
  <c r="H16" i="2"/>
  <c r="I16" i="2"/>
  <c r="J16" i="2"/>
  <c r="K16" i="2"/>
  <c r="L16" i="2"/>
  <c r="M16" i="2"/>
  <c r="T25" i="2"/>
  <c r="T21" i="3"/>
  <c r="U25" i="2"/>
  <c r="U21" i="3"/>
  <c r="V25" i="2"/>
  <c r="V21" i="3"/>
  <c r="W16" i="2"/>
  <c r="W25" i="2"/>
  <c r="W21" i="3"/>
  <c r="X16" i="2"/>
  <c r="X25" i="2"/>
  <c r="X21" i="3"/>
  <c r="Y16" i="2"/>
  <c r="Y25" i="2"/>
  <c r="Y21" i="3"/>
  <c r="Z16" i="2"/>
  <c r="Z25" i="2"/>
  <c r="Z21" i="3"/>
  <c r="AA16" i="2"/>
  <c r="AA25" i="2"/>
  <c r="AA21" i="3"/>
  <c r="AB16" i="2"/>
  <c r="AB25" i="2"/>
  <c r="AB21" i="3"/>
  <c r="AC16" i="2"/>
  <c r="AC25" i="2"/>
  <c r="AC21" i="3"/>
  <c r="AD16" i="2"/>
  <c r="AD25" i="2"/>
  <c r="AD21" i="3"/>
  <c r="AE16" i="2"/>
  <c r="AE25" i="2"/>
  <c r="AE21" i="3"/>
  <c r="AF16" i="2"/>
  <c r="AF25" i="2"/>
  <c r="AF21" i="3"/>
  <c r="D17" i="2"/>
  <c r="E17" i="2"/>
  <c r="F17" i="2"/>
  <c r="G17" i="2"/>
  <c r="H17" i="2"/>
  <c r="I17" i="2"/>
  <c r="J17" i="2"/>
  <c r="K17" i="2"/>
  <c r="L17" i="2"/>
  <c r="M17" i="2"/>
  <c r="T26" i="2"/>
  <c r="T22" i="3"/>
  <c r="U26" i="2"/>
  <c r="U22" i="3"/>
  <c r="V26" i="2"/>
  <c r="V22" i="3"/>
  <c r="W17" i="2"/>
  <c r="W26" i="2"/>
  <c r="W22" i="3"/>
  <c r="X17" i="2"/>
  <c r="X26" i="2"/>
  <c r="X22" i="3"/>
  <c r="Y17" i="2"/>
  <c r="Y26" i="2"/>
  <c r="Y22" i="3"/>
  <c r="Z17" i="2"/>
  <c r="Z26" i="2"/>
  <c r="Z22" i="3"/>
  <c r="AA17" i="2"/>
  <c r="AA26" i="2"/>
  <c r="AA22" i="3"/>
  <c r="AB17" i="2"/>
  <c r="AB26" i="2"/>
  <c r="AB22" i="3"/>
  <c r="AC17" i="2"/>
  <c r="AC26" i="2"/>
  <c r="AC22" i="3"/>
  <c r="AD17" i="2"/>
  <c r="AD26" i="2"/>
  <c r="AD22" i="3"/>
  <c r="AE17" i="2"/>
  <c r="AE26" i="2"/>
  <c r="AE22" i="3"/>
  <c r="AF17" i="2"/>
  <c r="AF26" i="2"/>
  <c r="AF22" i="3"/>
  <c r="C14" i="2"/>
  <c r="C15" i="2"/>
  <c r="C16" i="2"/>
  <c r="C17" i="2"/>
  <c r="C13" i="2"/>
  <c r="D4" i="2"/>
  <c r="E4" i="2"/>
  <c r="F4" i="2"/>
  <c r="G4" i="2"/>
  <c r="H4" i="2"/>
  <c r="H9" i="2"/>
  <c r="I4" i="2"/>
  <c r="J4" i="2"/>
  <c r="K4" i="2"/>
  <c r="L4" i="2"/>
  <c r="M4" i="2"/>
  <c r="W4" i="2"/>
  <c r="X4" i="2"/>
  <c r="X9" i="2"/>
  <c r="Y4" i="2"/>
  <c r="Z4" i="2"/>
  <c r="AA4" i="2"/>
  <c r="AB4" i="2"/>
  <c r="AC4" i="2"/>
  <c r="AD4" i="2"/>
  <c r="AE4" i="2"/>
  <c r="AF4" i="2"/>
  <c r="D5" i="2"/>
  <c r="E5" i="2"/>
  <c r="F5" i="2"/>
  <c r="G5" i="2"/>
  <c r="H5" i="2"/>
  <c r="I5" i="2"/>
  <c r="J5" i="2"/>
  <c r="K5" i="2"/>
  <c r="L5" i="2"/>
  <c r="M5" i="2"/>
  <c r="W5" i="2"/>
  <c r="X5" i="2"/>
  <c r="Y5" i="2"/>
  <c r="Z5" i="2"/>
  <c r="AA5" i="2"/>
  <c r="AB5" i="2"/>
  <c r="AC5" i="2"/>
  <c r="AD5" i="2"/>
  <c r="AE5" i="2"/>
  <c r="AF5" i="2"/>
  <c r="D6" i="2"/>
  <c r="E6" i="2"/>
  <c r="F6" i="2"/>
  <c r="G6" i="2"/>
  <c r="H6" i="2"/>
  <c r="I6" i="2"/>
  <c r="J6" i="2"/>
  <c r="K6" i="2"/>
  <c r="L6" i="2"/>
  <c r="M6" i="2"/>
  <c r="W6" i="2"/>
  <c r="X6" i="2"/>
  <c r="Y6" i="2"/>
  <c r="Z6" i="2"/>
  <c r="AA6" i="2"/>
  <c r="AB6" i="2"/>
  <c r="AC6" i="2"/>
  <c r="AD6" i="2"/>
  <c r="AE6" i="2"/>
  <c r="AF6" i="2"/>
  <c r="D7" i="2"/>
  <c r="E7" i="2"/>
  <c r="F7" i="2"/>
  <c r="G7" i="2"/>
  <c r="H7" i="2"/>
  <c r="I7" i="2"/>
  <c r="J7" i="2"/>
  <c r="K7" i="2"/>
  <c r="L7" i="2"/>
  <c r="M7" i="2"/>
  <c r="W7" i="2"/>
  <c r="X7" i="2"/>
  <c r="Y7" i="2"/>
  <c r="Z7" i="2"/>
  <c r="AA7" i="2"/>
  <c r="AB7" i="2"/>
  <c r="AC7" i="2"/>
  <c r="AD7" i="2"/>
  <c r="AE7" i="2"/>
  <c r="AF7" i="2"/>
  <c r="D8" i="2"/>
  <c r="E8" i="2"/>
  <c r="F8" i="2"/>
  <c r="G8" i="2"/>
  <c r="H8" i="2"/>
  <c r="I8" i="2"/>
  <c r="J8" i="2"/>
  <c r="K8" i="2"/>
  <c r="L8" i="2"/>
  <c r="M8" i="2"/>
  <c r="W8" i="2"/>
  <c r="X8" i="2"/>
  <c r="Y8" i="2"/>
  <c r="Z8" i="2"/>
  <c r="AA8" i="2"/>
  <c r="AB8" i="2"/>
  <c r="AC8" i="2"/>
  <c r="AD8" i="2"/>
  <c r="AE8" i="2"/>
  <c r="AF8" i="2"/>
  <c r="C5" i="2"/>
  <c r="C6" i="2"/>
  <c r="C7" i="2"/>
  <c r="C8" i="2"/>
  <c r="C4" i="2"/>
  <c r="S26" i="2"/>
  <c r="S22" i="3"/>
  <c r="S25" i="2"/>
  <c r="S21" i="3"/>
  <c r="S24" i="2"/>
  <c r="S20" i="3"/>
  <c r="S23" i="2"/>
  <c r="S19" i="3"/>
  <c r="R26" i="2"/>
  <c r="R22" i="3"/>
  <c r="R25" i="2"/>
  <c r="R21" i="3"/>
  <c r="R24" i="2"/>
  <c r="R20" i="3"/>
  <c r="R23" i="2"/>
  <c r="R19" i="3"/>
  <c r="Q26" i="2"/>
  <c r="Q22" i="3"/>
  <c r="Q25" i="2"/>
  <c r="Q21" i="3"/>
  <c r="Q24" i="2"/>
  <c r="Q20" i="3"/>
  <c r="Q23" i="2"/>
  <c r="Q19" i="3"/>
  <c r="AF9" i="2"/>
  <c r="C9" i="2"/>
  <c r="I9" i="2"/>
  <c r="H23" i="2"/>
  <c r="H19" i="3"/>
  <c r="AC22" i="2"/>
  <c r="AC18" i="3"/>
  <c r="AC18" i="2"/>
  <c r="U22" i="2"/>
  <c r="U18" i="3"/>
  <c r="M18" i="2"/>
  <c r="E18" i="2"/>
  <c r="V22" i="2"/>
  <c r="V18" i="3"/>
  <c r="F9" i="2"/>
  <c r="F27" i="2"/>
  <c r="AB22" i="2"/>
  <c r="AB18" i="3"/>
  <c r="AB18" i="2"/>
  <c r="L18" i="2"/>
  <c r="D18" i="2"/>
  <c r="AE9" i="2"/>
  <c r="G9" i="2"/>
  <c r="AC9" i="2"/>
  <c r="AC27" i="2"/>
  <c r="U27" i="2"/>
  <c r="M9" i="2"/>
  <c r="E9" i="2"/>
  <c r="E27" i="2"/>
  <c r="O26" i="2"/>
  <c r="O22" i="3"/>
  <c r="S22" i="2"/>
  <c r="S18" i="3"/>
  <c r="K18" i="2"/>
  <c r="W9" i="2"/>
  <c r="AB9" i="2"/>
  <c r="L9" i="2"/>
  <c r="D9" i="2"/>
  <c r="D27" i="2"/>
  <c r="Z22" i="2"/>
  <c r="Z18" i="3"/>
  <c r="Z18" i="2"/>
  <c r="J18" i="2"/>
  <c r="C18" i="2"/>
  <c r="I18" i="2"/>
  <c r="C27" i="2"/>
  <c r="I27" i="2"/>
  <c r="K9" i="2"/>
  <c r="K27" i="2"/>
  <c r="Z9" i="2"/>
  <c r="Z27" i="2"/>
  <c r="J9" i="2"/>
  <c r="J27" i="2"/>
  <c r="X22" i="2"/>
  <c r="X18" i="3"/>
  <c r="X18" i="2"/>
  <c r="X27" i="2"/>
  <c r="H18" i="2"/>
  <c r="H27" i="2"/>
  <c r="AE22" i="2"/>
  <c r="AE18" i="3"/>
  <c r="AE18" i="2"/>
  <c r="W22" i="2"/>
  <c r="W18" i="3"/>
  <c r="W18" i="2"/>
  <c r="G18" i="2"/>
  <c r="AA22" i="2"/>
  <c r="AA18" i="3"/>
  <c r="AA18" i="2"/>
  <c r="AA9" i="2"/>
  <c r="AA27" i="2"/>
  <c r="AF22" i="2"/>
  <c r="AF18" i="3"/>
  <c r="AF18" i="2"/>
  <c r="AD22" i="2"/>
  <c r="AD18" i="3"/>
  <c r="AD18" i="2"/>
  <c r="AD9" i="2"/>
  <c r="T22" i="2"/>
  <c r="T18" i="3"/>
  <c r="Y22" i="2"/>
  <c r="Y18" i="3"/>
  <c r="Y18" i="2"/>
  <c r="Y9" i="2"/>
  <c r="N27" i="2"/>
  <c r="R22" i="2"/>
  <c r="R18" i="3"/>
  <c r="AG8" i="2"/>
  <c r="AG7" i="2"/>
  <c r="AG5" i="2"/>
  <c r="Q22" i="2"/>
  <c r="Q18" i="3"/>
  <c r="AG6" i="2"/>
  <c r="P24" i="2"/>
  <c r="P20" i="3"/>
  <c r="AG15" i="2"/>
  <c r="P26" i="2"/>
  <c r="P22" i="3"/>
  <c r="AG17" i="2"/>
  <c r="AG4" i="2"/>
  <c r="AG13" i="2"/>
  <c r="P23" i="2"/>
  <c r="P19" i="3"/>
  <c r="AG14" i="2"/>
  <c r="P25" i="2"/>
  <c r="P21" i="3"/>
  <c r="AG16" i="2"/>
  <c r="O25" i="2"/>
  <c r="O21" i="3"/>
  <c r="P22" i="2"/>
  <c r="P18" i="3"/>
  <c r="O24" i="2"/>
  <c r="O20" i="3"/>
  <c r="O23" i="2"/>
  <c r="O19" i="3"/>
  <c r="O22" i="2"/>
  <c r="O18" i="3"/>
  <c r="N26" i="2"/>
  <c r="N22" i="3"/>
  <c r="N25" i="2"/>
  <c r="N21" i="3"/>
  <c r="N22" i="2"/>
  <c r="N18" i="3"/>
  <c r="N23" i="2"/>
  <c r="N19" i="3"/>
  <c r="N24" i="2"/>
  <c r="N20" i="3"/>
  <c r="M23" i="2"/>
  <c r="M19" i="3"/>
  <c r="M26" i="2"/>
  <c r="M22" i="3"/>
  <c r="M25" i="2"/>
  <c r="M21" i="3"/>
  <c r="M24" i="2"/>
  <c r="M20" i="3"/>
  <c r="G23" i="2"/>
  <c r="G19" i="3"/>
  <c r="L22" i="2"/>
  <c r="L18" i="3"/>
  <c r="D22" i="2"/>
  <c r="D18" i="3"/>
  <c r="E25" i="2"/>
  <c r="E21" i="3"/>
  <c r="J24" i="2"/>
  <c r="J20" i="3"/>
  <c r="M22" i="2"/>
  <c r="M18" i="3"/>
  <c r="H26" i="2"/>
  <c r="H22" i="3"/>
  <c r="I23" i="2"/>
  <c r="I19" i="3"/>
  <c r="G22" i="2"/>
  <c r="G18" i="3"/>
  <c r="G25" i="2"/>
  <c r="G21" i="3"/>
  <c r="L24" i="2"/>
  <c r="L20" i="3"/>
  <c r="D24" i="2"/>
  <c r="D20" i="3"/>
  <c r="F22" i="2"/>
  <c r="F18" i="3"/>
  <c r="F25" i="2"/>
  <c r="F21" i="3"/>
  <c r="K24" i="2"/>
  <c r="K20" i="3"/>
  <c r="G26" i="2"/>
  <c r="G22" i="3"/>
  <c r="L25" i="2"/>
  <c r="L21" i="3"/>
  <c r="D25" i="2"/>
  <c r="D21" i="3"/>
  <c r="I24" i="2"/>
  <c r="I20" i="3"/>
  <c r="F23" i="2"/>
  <c r="F19" i="3"/>
  <c r="K22" i="2"/>
  <c r="K18" i="3"/>
  <c r="G24" i="2"/>
  <c r="G20" i="3"/>
  <c r="L26" i="2"/>
  <c r="L22" i="3"/>
  <c r="D26" i="2"/>
  <c r="D22" i="3"/>
  <c r="I25" i="2"/>
  <c r="I21" i="3"/>
  <c r="F24" i="2"/>
  <c r="F20" i="3"/>
  <c r="H22" i="2"/>
  <c r="H18" i="3"/>
  <c r="I26" i="2"/>
  <c r="I22" i="3"/>
  <c r="E22" i="2"/>
  <c r="E18" i="3"/>
  <c r="E24" i="2"/>
  <c r="E20" i="3"/>
  <c r="I22" i="2"/>
  <c r="I18" i="3"/>
  <c r="H25" i="2"/>
  <c r="H21" i="3"/>
  <c r="E23" i="2"/>
  <c r="E19" i="3"/>
  <c r="E26" i="2"/>
  <c r="E22" i="3"/>
  <c r="J25" i="2"/>
  <c r="J21" i="3"/>
  <c r="L23" i="2"/>
  <c r="L19" i="3"/>
  <c r="D23" i="2"/>
  <c r="D19" i="3"/>
  <c r="K23" i="2"/>
  <c r="K19" i="3"/>
  <c r="J23" i="2"/>
  <c r="J19" i="3"/>
  <c r="J26" i="2"/>
  <c r="J22" i="3"/>
  <c r="K26" i="2"/>
  <c r="K22" i="3"/>
  <c r="J22" i="2"/>
  <c r="J18" i="3"/>
  <c r="F26" i="2"/>
  <c r="F22" i="3"/>
  <c r="K25" i="2"/>
  <c r="K21" i="3"/>
  <c r="H24" i="2"/>
  <c r="H20" i="3"/>
  <c r="C24" i="2"/>
  <c r="C20" i="3"/>
  <c r="C23" i="2"/>
  <c r="C19" i="3"/>
  <c r="C26" i="2"/>
  <c r="C22" i="3"/>
  <c r="C25" i="2"/>
  <c r="C21" i="3"/>
  <c r="C22" i="2"/>
  <c r="C18" i="3"/>
  <c r="Y27" i="2"/>
  <c r="R27" i="2"/>
  <c r="AF27" i="2"/>
  <c r="Q27" i="2"/>
  <c r="AB27" i="2"/>
  <c r="T27" i="2"/>
  <c r="L27" i="2"/>
  <c r="M27" i="2"/>
  <c r="W27" i="2"/>
  <c r="V27" i="2"/>
  <c r="S27" i="2"/>
  <c r="G27" i="2"/>
  <c r="AE27" i="2"/>
  <c r="AD27" i="2"/>
  <c r="AG24" i="2"/>
  <c r="O27" i="2"/>
  <c r="AG23" i="2"/>
  <c r="AG25" i="2"/>
  <c r="AG22" i="2"/>
  <c r="AG26" i="2"/>
  <c r="P27" i="2"/>
  <c r="F40" i="2" l="1"/>
  <c r="F44" i="2"/>
  <c r="H42" i="2"/>
  <c r="G43" i="2"/>
  <c r="H41" i="2"/>
  <c r="G42" i="2"/>
  <c r="F43" i="2"/>
  <c r="S7" i="3" s="1"/>
  <c r="I41" i="2"/>
  <c r="G40" i="2"/>
  <c r="F45" i="2"/>
  <c r="S9" i="3" s="1"/>
  <c r="F42" i="2"/>
  <c r="S6" i="3" s="1"/>
  <c r="T6" i="3" s="1" a="1"/>
  <c r="T6" i="3" s="1"/>
  <c r="G41" i="2"/>
  <c r="I40" i="2"/>
  <c r="F41" i="2"/>
  <c r="S5" i="3" s="1"/>
  <c r="H40" i="2"/>
  <c r="H45" i="2"/>
  <c r="I44" i="2"/>
  <c r="G45" i="2"/>
  <c r="H44" i="2"/>
  <c r="I43" i="2"/>
  <c r="G44" i="2"/>
  <c r="H43" i="2"/>
  <c r="I42" i="2"/>
  <c r="D46" i="2"/>
  <c r="E46" i="2"/>
  <c r="C46" i="2"/>
  <c r="S8" i="3"/>
  <c r="B2" i="3"/>
  <c r="M33" i="2"/>
  <c r="L33" i="2"/>
  <c r="L31" i="2"/>
  <c r="M31" i="2"/>
  <c r="E34" i="2"/>
  <c r="D34" i="2"/>
  <c r="L34" i="2"/>
  <c r="M34" i="2"/>
  <c r="E35" i="2"/>
  <c r="D35" i="2"/>
  <c r="L35" i="2"/>
  <c r="M35" i="2"/>
  <c r="L36" i="2"/>
  <c r="M36" i="2"/>
  <c r="L32" i="2"/>
  <c r="M32" i="2"/>
  <c r="T4" i="3" l="1" a="1"/>
  <c r="T4" i="3" s="1"/>
  <c r="U4" i="3" s="1" a="1"/>
  <c r="U4" i="3" s="1"/>
  <c r="T5" i="3" a="1"/>
  <c r="T5" i="3" s="1"/>
  <c r="U5" i="3" s="1" a="1"/>
  <c r="U5" i="3" s="1"/>
  <c r="H46" i="2"/>
  <c r="F46" i="2"/>
  <c r="S10" i="3" s="1"/>
  <c r="G46" i="2"/>
  <c r="I46" i="2"/>
  <c r="U6" i="3" a="1"/>
  <c r="U6" i="3" s="1"/>
  <c r="T9" i="3" a="1"/>
  <c r="T9" i="3" s="1"/>
  <c r="U9" i="3" s="1" a="1"/>
  <c r="U9" i="3" s="1"/>
  <c r="T7" i="3" a="1"/>
  <c r="T7" i="3" s="1"/>
  <c r="U7" i="3" s="1" a="1"/>
  <c r="U7" i="3" s="1"/>
  <c r="T8" i="3" a="1"/>
  <c r="T8" i="3" s="1"/>
  <c r="U8" i="3" s="1" a="1"/>
  <c r="U8" i="3" s="1"/>
  <c r="N32" i="2"/>
  <c r="O32" i="2"/>
  <c r="N34" i="2"/>
  <c r="O34" i="2"/>
  <c r="O36" i="2"/>
  <c r="N36" i="2"/>
  <c r="F34" i="2"/>
  <c r="J25" i="3"/>
  <c r="G34" i="2"/>
  <c r="O35" i="2"/>
  <c r="N35" i="2"/>
  <c r="B25" i="3"/>
  <c r="N31" i="2"/>
  <c r="O31" i="2"/>
  <c r="F35" i="2"/>
  <c r="G35" i="2"/>
  <c r="O33" i="2"/>
  <c r="N33" i="2"/>
  <c r="T10" i="3" l="1" a="1"/>
  <c r="T10" i="3" s="1"/>
  <c r="U10" i="3" a="1"/>
  <c r="U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<sst xmlns="http://schemas.openxmlformats.org/spreadsheetml/2006/main" count="835" uniqueCount="154">
  <si>
    <t>Day</t>
  </si>
  <si>
    <t>Time</t>
  </si>
  <si>
    <t>Class Type</t>
  </si>
  <si>
    <t>Module Code</t>
  </si>
  <si>
    <t>Module Name</t>
  </si>
  <si>
    <t>Programming (Black)</t>
  </si>
  <si>
    <t>Practical</t>
  </si>
  <si>
    <t>Mon</t>
  </si>
  <si>
    <t>Algorithms and Data Structures</t>
  </si>
  <si>
    <t>Mathematics for Computer Science</t>
  </si>
  <si>
    <t>Lecture</t>
  </si>
  <si>
    <t>Computational Thinking</t>
  </si>
  <si>
    <t>Computer Systems</t>
  </si>
  <si>
    <t>Discrete Mathematics</t>
  </si>
  <si>
    <t>Wed</t>
  </si>
  <si>
    <t>Fri</t>
  </si>
  <si>
    <t>Tutorial</t>
  </si>
  <si>
    <t>Monday</t>
  </si>
  <si>
    <t>Tuesday</t>
  </si>
  <si>
    <t>Wednesday</t>
  </si>
  <si>
    <t>Thursday</t>
  </si>
  <si>
    <t>Friday</t>
  </si>
  <si>
    <t>COMP1101</t>
  </si>
  <si>
    <t>COMP1081</t>
  </si>
  <si>
    <t>COMP1021</t>
  </si>
  <si>
    <t>COMP1051</t>
  </si>
  <si>
    <t>COMP1071</t>
  </si>
  <si>
    <t>MATH1031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</si>
  <si>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</si>
  <si>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</si>
  <si>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</si>
  <si>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</si>
  <si>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</si>
  <si>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</si>
  <si>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</si>
  <si>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</si>
  <si>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</si>
  <si>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</si>
  <si>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Work Done</t>
  </si>
  <si>
    <t>Attended</t>
  </si>
  <si>
    <t>Attended:</t>
  </si>
  <si>
    <t>Possible:</t>
  </si>
  <si>
    <t>Percentage:</t>
  </si>
  <si>
    <t>Week 15</t>
  </si>
  <si>
    <t>Week 20</t>
  </si>
  <si>
    <t>Week 25</t>
  </si>
  <si>
    <t>Week 30</t>
  </si>
  <si>
    <t>Week 11</t>
  </si>
  <si>
    <t>Week 12</t>
  </si>
  <si>
    <t>Week 13</t>
  </si>
  <si>
    <t>Week 14</t>
  </si>
  <si>
    <t>Week 16</t>
  </si>
  <si>
    <t>Week 17</t>
  </si>
  <si>
    <t>Week 18</t>
  </si>
  <si>
    <t>Week 19</t>
  </si>
  <si>
    <t>Week 21</t>
  </si>
  <si>
    <t>Week 22</t>
  </si>
  <si>
    <t>Week 23</t>
  </si>
  <si>
    <t>Week 24</t>
  </si>
  <si>
    <t>Week 26</t>
  </si>
  <si>
    <t>Week 27</t>
  </si>
  <si>
    <t>Week 28</t>
  </si>
  <si>
    <t>Week 29</t>
  </si>
  <si>
    <t>Status</t>
  </si>
  <si>
    <t>Release Date</t>
  </si>
  <si>
    <t>Due Date</t>
  </si>
  <si>
    <t>Assignment Name</t>
  </si>
  <si>
    <t>Assignment Type</t>
  </si>
  <si>
    <t>Done?</t>
  </si>
  <si>
    <t>Score</t>
  </si>
  <si>
    <t>Drop-In</t>
  </si>
  <si>
    <t>Homework</t>
  </si>
  <si>
    <t>E-Assessment 1 - PS1</t>
  </si>
  <si>
    <t>Coursework</t>
  </si>
  <si>
    <t>Written Assignment 1</t>
  </si>
  <si>
    <t>Exam</t>
  </si>
  <si>
    <t>Formative Assignment 1</t>
  </si>
  <si>
    <t xml:space="preserve"> E-Assessment 1 - PS2</t>
  </si>
  <si>
    <t>Formative Assignment 2</t>
  </si>
  <si>
    <t>Written Assignment 2</t>
  </si>
  <si>
    <t>Formative Assignment 3</t>
  </si>
  <si>
    <t>E-Assessment 1 - PS3</t>
  </si>
  <si>
    <t>Formative Assignment 4</t>
  </si>
  <si>
    <t>Written Assignment 3</t>
  </si>
  <si>
    <t>Formative Assignment 5</t>
  </si>
  <si>
    <t>E-Assessment 1 - PS4</t>
  </si>
  <si>
    <t>Formative Assignment 6</t>
  </si>
  <si>
    <t>Written Assignment 4</t>
  </si>
  <si>
    <t>Formative Assignment 7</t>
  </si>
  <si>
    <t>E-Assessment 1 - PS5</t>
  </si>
  <si>
    <t>Collection Exam</t>
  </si>
  <si>
    <t>Weighting</t>
  </si>
  <si>
    <t>Collaborative Project</t>
  </si>
  <si>
    <t>Logic Coursework</t>
  </si>
  <si>
    <t>Web Development Peer Evaluation</t>
  </si>
  <si>
    <t>Web Development Video</t>
  </si>
  <si>
    <t>CT Benchtest</t>
  </si>
  <si>
    <t>ADS Coursework</t>
  </si>
  <si>
    <t>Guest Lecture Presentation Video</t>
  </si>
  <si>
    <t>LMC Programming Assignment</t>
  </si>
  <si>
    <t>Digital Electronics Benchtest</t>
  </si>
  <si>
    <t>Formatives:</t>
  </si>
  <si>
    <t>Done</t>
  </si>
  <si>
    <t>Total</t>
  </si>
  <si>
    <t>To-Do</t>
  </si>
  <si>
    <t>Average Score</t>
  </si>
  <si>
    <t>Mark</t>
  </si>
  <si>
    <t>Summatives:</t>
  </si>
  <si>
    <t>Not Released</t>
  </si>
  <si>
    <t>All</t>
  </si>
  <si>
    <t>Modules:</t>
  </si>
  <si>
    <t>Weighted Score</t>
  </si>
  <si>
    <t>Achieved Marks</t>
  </si>
  <si>
    <t>Possible Marks</t>
  </si>
  <si>
    <t>MATH1032</t>
  </si>
  <si>
    <t>Written Assignment 5</t>
  </si>
  <si>
    <t>Missed</t>
  </si>
  <si>
    <t>OTHER</t>
  </si>
  <si>
    <t>Formative Assignment 9</t>
  </si>
  <si>
    <t>Formative Assignment 8</t>
  </si>
  <si>
    <t>Total:</t>
  </si>
  <si>
    <t>Daily Average:</t>
  </si>
  <si>
    <t>Weekly Average:</t>
  </si>
  <si>
    <t>Seminar</t>
  </si>
  <si>
    <t>Formative Assignment 10</t>
  </si>
  <si>
    <t>Seminar Report</t>
  </si>
  <si>
    <t>Seminar Presentation</t>
  </si>
  <si>
    <t>Logic Benchtest</t>
  </si>
  <si>
    <t>Formative Assignment 11</t>
  </si>
  <si>
    <t>Seminar Writing Assignment</t>
  </si>
  <si>
    <t>Final Exam</t>
  </si>
  <si>
    <t>MCS Benchtest</t>
  </si>
  <si>
    <t>Formative Assignment 12</t>
  </si>
  <si>
    <t>Formative Assignment 13</t>
  </si>
  <si>
    <t>Remaining Possible Marks</t>
  </si>
  <si>
    <t>1st Required</t>
  </si>
  <si>
    <t>2:1 Required</t>
  </si>
  <si>
    <t>2:2 Required</t>
  </si>
  <si>
    <t>Pass Required</t>
  </si>
  <si>
    <t>1st</t>
  </si>
  <si>
    <t>2:1</t>
  </si>
  <si>
    <t>Module</t>
  </si>
  <si>
    <t>ADS</t>
  </si>
  <si>
    <t>CT</t>
  </si>
  <si>
    <t>CS</t>
  </si>
  <si>
    <t>DM</t>
  </si>
  <si>
    <t>MCS</t>
  </si>
  <si>
    <t>P(B)</t>
  </si>
  <si>
    <t>Pass</t>
  </si>
  <si>
    <t>Average Marks Required</t>
  </si>
  <si>
    <t>Formative Assignment 14</t>
  </si>
  <si>
    <t>Other</t>
  </si>
  <si>
    <t>Formative Assignment 15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</si>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</sst>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8"/>
      <color theme="0"/>
      <name val="Aptos Narrow"/>
      <family val="2"/>
      <scheme val="minor"/>
    </font>
    <font>
      <i/>
      <sz val="1"/>
      <color theme="1" tint="0.14999847407452621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theme="0" tint="-0.14999847407452621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1" tint="0.14999847407452621"/>
      </left>
      <right style="thick">
        <color theme="1" tint="0.14999847407452621"/>
      </right>
      <top style="thick">
        <color theme="1" tint="0.14999847407452621"/>
      </top>
      <bottom style="thick">
        <color theme="1" tint="0.1499984740745262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/>
      <top/>
      <bottom/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 style="thick">
        <color theme="1" tint="0.14996795556505021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 style="thin">
        <color indexed="64"/>
      </bottom>
      <diagonal/>
    </border>
    <border>
      <left style="thick">
        <color theme="1" tint="0.14996795556505021"/>
      </left>
      <right style="thick">
        <color theme="1" tint="0.14996795556505021"/>
      </right>
      <top/>
      <bottom style="thick">
        <color theme="1" tint="0.14996795556505021"/>
      </bottom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 style="mediumDashed">
        <color theme="5" tint="-0.499984740745262"/>
      </bottom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 style="thick">
        <color theme="1" tint="0.14999847407452621"/>
      </bottom>
      <diagonal/>
    </border>
    <border>
      <left style="thick">
        <color theme="1" tint="0.14996795556505021"/>
      </left>
      <right style="thick">
        <color theme="1" tint="0.1499679555650502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/>
      <diagonal/>
    </border>
    <border>
      <left/>
      <right/>
      <top style="thin">
        <color theme="2" tint="-0.499984740745262"/>
      </top>
      <bottom style="double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9" fontId="0" fillId="0" borderId="0" xfId="1" applyFont="1"/>
    <xf numFmtId="0" fontId="0" fillId="2" borderId="0" xfId="0" applyFill="1"/>
    <xf numFmtId="0" fontId="6" fillId="2" borderId="0" xfId="0" applyFont="1" applyFill="1"/>
    <xf numFmtId="9" fontId="7" fillId="2" borderId="3" xfId="0" applyNumberFormat="1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/>
    <xf numFmtId="0" fontId="0" fillId="2" borderId="8" xfId="0" applyFill="1" applyBorder="1"/>
    <xf numFmtId="0" fontId="6" fillId="2" borderId="7" xfId="0" applyFont="1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 applyAlignment="1">
      <alignment vertical="top"/>
    </xf>
    <xf numFmtId="0" fontId="2" fillId="2" borderId="1" xfId="0" applyFont="1" applyFill="1" applyBorder="1"/>
    <xf numFmtId="0" fontId="2" fillId="2" borderId="2" xfId="0" applyFont="1" applyFill="1" applyBorder="1"/>
    <xf numFmtId="0" fontId="4" fillId="2" borderId="0" xfId="0" applyFont="1" applyFill="1"/>
    <xf numFmtId="20" fontId="4" fillId="2" borderId="0" xfId="0" applyNumberFormat="1" applyFont="1" applyFill="1"/>
    <xf numFmtId="0" fontId="2" fillId="2" borderId="0" xfId="0" applyFont="1" applyFill="1"/>
    <xf numFmtId="0" fontId="2" fillId="2" borderId="12" xfId="0" applyFont="1" applyFill="1" applyBorder="1"/>
    <xf numFmtId="0" fontId="8" fillId="3" borderId="13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4" fillId="2" borderId="14" xfId="0" applyFont="1" applyFill="1" applyBorder="1"/>
    <xf numFmtId="20" fontId="4" fillId="2" borderId="14" xfId="0" applyNumberFormat="1" applyFont="1" applyFill="1" applyBorder="1"/>
    <xf numFmtId="0" fontId="8" fillId="2" borderId="13" xfId="0" applyFont="1" applyFill="1" applyBorder="1" applyAlignment="1">
      <alignment horizontal="center" vertical="center"/>
    </xf>
    <xf numFmtId="14" fontId="4" fillId="2" borderId="0" xfId="0" applyNumberFormat="1" applyFont="1" applyFill="1"/>
    <xf numFmtId="0" fontId="4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/>
    <xf numFmtId="0" fontId="0" fillId="4" borderId="0" xfId="0" applyFill="1"/>
    <xf numFmtId="14" fontId="0" fillId="4" borderId="0" xfId="0" applyNumberFormat="1" applyFill="1"/>
    <xf numFmtId="1" fontId="0" fillId="4" borderId="0" xfId="0" applyNumberFormat="1" applyFill="1"/>
    <xf numFmtId="9" fontId="0" fillId="4" borderId="0" xfId="0" applyNumberFormat="1" applyFill="1"/>
    <xf numFmtId="0" fontId="3" fillId="2" borderId="0" xfId="0" applyFont="1" applyFill="1"/>
    <xf numFmtId="14" fontId="0" fillId="2" borderId="0" xfId="0" applyNumberFormat="1" applyFill="1"/>
    <xf numFmtId="1" fontId="0" fillId="2" borderId="0" xfId="0" applyNumberFormat="1" applyFill="1"/>
    <xf numFmtId="9" fontId="0" fillId="2" borderId="0" xfId="0" applyNumberFormat="1" applyFill="1"/>
    <xf numFmtId="9" fontId="0" fillId="4" borderId="0" xfId="1" applyFont="1" applyFill="1" applyBorder="1"/>
    <xf numFmtId="0" fontId="2" fillId="2" borderId="14" xfId="0" applyFont="1" applyFill="1" applyBorder="1"/>
    <xf numFmtId="14" fontId="4" fillId="2" borderId="14" xfId="0" applyNumberFormat="1" applyFont="1" applyFill="1" applyBorder="1"/>
    <xf numFmtId="9" fontId="4" fillId="2" borderId="14" xfId="1" applyFont="1" applyFill="1" applyBorder="1"/>
    <xf numFmtId="0" fontId="9" fillId="2" borderId="14" xfId="0" applyFont="1" applyFill="1" applyBorder="1"/>
    <xf numFmtId="0" fontId="9" fillId="2" borderId="0" xfId="0" applyFont="1" applyFill="1"/>
    <xf numFmtId="164" fontId="4" fillId="2" borderId="14" xfId="1" applyNumberFormat="1" applyFont="1" applyFill="1" applyBorder="1"/>
    <xf numFmtId="164" fontId="4" fillId="2" borderId="0" xfId="0" applyNumberFormat="1" applyFont="1" applyFill="1"/>
    <xf numFmtId="164" fontId="0" fillId="0" borderId="0" xfId="1" applyNumberFormat="1" applyFont="1"/>
    <xf numFmtId="164" fontId="0" fillId="0" borderId="0" xfId="0" applyNumberFormat="1"/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0" fontId="8" fillId="2" borderId="17" xfId="0" applyNumberFormat="1" applyFont="1" applyFill="1" applyBorder="1" applyAlignment="1">
      <alignment horizontal="center" vertical="center"/>
    </xf>
    <xf numFmtId="20" fontId="8" fillId="2" borderId="16" xfId="0" applyNumberFormat="1" applyFont="1" applyFill="1" applyBorder="1" applyAlignment="1">
      <alignment horizontal="center" vertical="center"/>
    </xf>
    <xf numFmtId="20" fontId="8" fillId="2" borderId="13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0" fontId="8" fillId="2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0" fillId="0" borderId="20" xfId="0" applyBorder="1"/>
    <xf numFmtId="0" fontId="3" fillId="0" borderId="20" xfId="0" applyFont="1" applyBorder="1"/>
    <xf numFmtId="9" fontId="0" fillId="0" borderId="20" xfId="1" applyFont="1" applyBorder="1"/>
    <xf numFmtId="0" fontId="8" fillId="2" borderId="2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49" fontId="11" fillId="2" borderId="0" xfId="0" applyNumberFormat="1" applyFont="1" applyFill="1" applyAlignment="1">
      <alignment horizontal="center"/>
    </xf>
    <xf numFmtId="9" fontId="10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9" fontId="10" fillId="2" borderId="22" xfId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2">
    <cellStyle name="Normal" xfId="0" builtinId="0"/>
    <cellStyle name="Per cent" xfId="1" builtinId="5"/>
  </cellStyles>
  <dxfs count="26">
    <dxf>
      <font>
        <color theme="9"/>
      </font>
      <fill>
        <patternFill>
          <bgColor theme="1" tint="0.14996795556505021"/>
        </patternFill>
      </fill>
    </dxf>
    <dxf>
      <font>
        <color theme="8" tint="0.39994506668294322"/>
      </font>
      <fill>
        <patternFill>
          <bgColor theme="1" tint="0.14996795556505021"/>
        </patternFill>
      </fill>
    </dxf>
    <dxf>
      <font>
        <color theme="5"/>
      </font>
      <fill>
        <patternFill>
          <bgColor theme="1" tint="0.14996795556505021"/>
        </patternFill>
      </fill>
    </dxf>
    <dxf>
      <font>
        <color theme="9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9"/>
      </font>
      <fill>
        <patternFill>
          <bgColor theme="1" tint="0.14996795556505021"/>
        </patternFill>
      </fill>
    </dxf>
    <dxf>
      <font>
        <color theme="8" tint="0.39994506668294322"/>
      </font>
      <fill>
        <patternFill>
          <bgColor theme="1" tint="0.14996795556505021"/>
        </patternFill>
      </fill>
    </dxf>
    <dxf>
      <font>
        <color theme="5"/>
      </font>
      <fill>
        <patternFill>
          <bgColor theme="1" tint="0.14996795556505021"/>
        </patternFill>
      </fill>
    </dxf>
    <dxf>
      <font>
        <color theme="9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5"/>
      </font>
    </dxf>
    <dxf>
      <font>
        <color theme="8"/>
      </font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66"/>
      </font>
    </dxf>
    <dxf>
      <font>
        <color rgb="FF92D050"/>
      </font>
      <fill>
        <patternFill patternType="solid">
          <bgColor theme="1" tint="0.14996795556505021"/>
        </patternFill>
      </fill>
    </dxf>
    <dxf>
      <font>
        <color theme="8" tint="0.39994506668294322"/>
      </font>
      <fill>
        <patternFill patternType="solid">
          <bgColor theme="1" tint="0.14996795556505021"/>
        </patternFill>
      </fill>
    </dxf>
    <dxf>
      <font>
        <color rgb="FF00B0F0"/>
      </font>
      <fill>
        <patternFill patternType="solid">
          <bgColor theme="1" tint="0.14996795556505021"/>
        </patternFill>
      </fill>
    </dxf>
    <dxf>
      <font>
        <color theme="5"/>
      </font>
      <fill>
        <patternFill patternType="solid">
          <bgColor theme="1" tint="0.14996795556505021"/>
        </patternFill>
      </fill>
    </dxf>
    <dxf>
      <font>
        <color rgb="FF92D05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700000"/>
      <color rgb="FF8E7C32"/>
      <color rgb="FF7B514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Calculator!$J$31:$J$36</c:f>
              <c:strCache>
                <c:ptCount val="6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</c:strCache>
            </c:strRef>
          </c:cat>
          <c:val>
            <c:numRef>
              <c:f>Calculator!$P$31:$P$36</c:f>
              <c:numCache>
                <c:formatCode>0%</c:formatCode>
                <c:ptCount val="6"/>
                <c:pt idx="0">
                  <c:v>0.75</c:v>
                </c:pt>
                <c:pt idx="1">
                  <c:v>0.72578877005347597</c:v>
                </c:pt>
                <c:pt idx="2">
                  <c:v>0.83250000000000002</c:v>
                </c:pt>
                <c:pt idx="3">
                  <c:v>0.55000000000000004</c:v>
                </c:pt>
                <c:pt idx="4">
                  <c:v>0.72499999999999998</c:v>
                </c:pt>
                <c:pt idx="5">
                  <c:v>0.79333333333333333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7-4084-9FD7-221752C1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304463"/>
        <c:axId val="1122302543"/>
      </c:radarChart>
      <c:catAx>
        <c:axId val="11223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302543"/>
        <c:crosses val="autoZero"/>
        <c:auto val="1"/>
        <c:lblAlgn val="ctr"/>
        <c:lblOffset val="100"/>
        <c:noMultiLvlLbl val="0"/>
      </c:catAx>
      <c:valAx>
        <c:axId val="11223025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2230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Calculator!$J$31:$J$36</c:f>
              <c:strCache>
                <c:ptCount val="6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</c:strCache>
            </c:strRef>
          </c:cat>
          <c:val>
            <c:numRef>
              <c:f>Calculator!$H$31:$H$36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0.78500000000000003</c:v>
                </c:pt>
                <c:pt idx="4">
                  <c:v>0.80560374149659864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57A-A1C4-49D3FEEA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304463"/>
        <c:axId val="1122302543"/>
      </c:radarChart>
      <c:catAx>
        <c:axId val="11223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302543"/>
        <c:crosses val="autoZero"/>
        <c:auto val="1"/>
        <c:lblAlgn val="ctr"/>
        <c:lblOffset val="100"/>
        <c:noMultiLvlLbl val="0"/>
      </c:catAx>
      <c:valAx>
        <c:axId val="1122302543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2230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Calculator!$B$31:$B$36</c:f>
              <c:strCache>
                <c:ptCount val="6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</c:strCache>
            </c:strRef>
          </c:cat>
          <c:val>
            <c:numRef>
              <c:f>Calculator!$F$31:$F$36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2-455C-844C-2A9BC0C5C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241583"/>
        <c:axId val="1288237263"/>
      </c:barChart>
      <c:catAx>
        <c:axId val="12882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37263"/>
        <c:crosses val="autoZero"/>
        <c:auto val="1"/>
        <c:lblAlgn val="ctr"/>
        <c:lblOffset val="100"/>
        <c:noMultiLvlLbl val="0"/>
      </c:catAx>
      <c:valAx>
        <c:axId val="128823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415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Calculator!$B$31:$B$36</c:f>
              <c:strCache>
                <c:ptCount val="6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</c:strCache>
            </c:strRef>
          </c:cat>
          <c:val>
            <c:numRef>
              <c:f>Calculator!$N$31:$N$36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4-4440-906F-99E45CE81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241583"/>
        <c:axId val="1288237263"/>
      </c:barChart>
      <c:catAx>
        <c:axId val="12882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37263"/>
        <c:crosses val="autoZero"/>
        <c:auto val="1"/>
        <c:lblAlgn val="ctr"/>
        <c:lblOffset val="100"/>
        <c:noMultiLvlLbl val="0"/>
      </c:catAx>
      <c:valAx>
        <c:axId val="128823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415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Calculator!$C$39</c:f>
              <c:strCache>
                <c:ptCount val="1"/>
                <c:pt idx="0">
                  <c:v>Achieved Marks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Calculator!$B$40:$B$46</c:f>
              <c:strCache>
                <c:ptCount val="7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  <c:pt idx="6">
                  <c:v>Overall</c:v>
                </c:pt>
              </c:strCache>
            </c:strRef>
          </c:cat>
          <c:val>
            <c:numRef>
              <c:f>Calculator!$C$40:$C$46</c:f>
              <c:numCache>
                <c:formatCode>0.0%</c:formatCode>
                <c:ptCount val="7"/>
                <c:pt idx="0">
                  <c:v>0.255</c:v>
                </c:pt>
                <c:pt idx="1">
                  <c:v>0.71405704099821754</c:v>
                </c:pt>
                <c:pt idx="2">
                  <c:v>0.60315000000000007</c:v>
                </c:pt>
                <c:pt idx="3">
                  <c:v>0.55000000000000004</c:v>
                </c:pt>
                <c:pt idx="4">
                  <c:v>0.60289999999999999</c:v>
                </c:pt>
                <c:pt idx="5">
                  <c:v>0.70650000000000002</c:v>
                </c:pt>
                <c:pt idx="6">
                  <c:v>0.57193450683303626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F-4D7E-B471-16C8A72BF4A9}"/>
            </c:ext>
          </c:extLst>
        </c:ser>
        <c:ser>
          <c:idx val="1"/>
          <c:order val="1"/>
          <c:tx>
            <c:strRef>
              <c:f>Calculator!$D$39</c:f>
              <c:strCache>
                <c:ptCount val="1"/>
                <c:pt idx="0">
                  <c:v>Possible Marks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Calculator!$B$40:$B$46</c:f>
              <c:strCache>
                <c:ptCount val="7"/>
                <c:pt idx="0">
                  <c:v>Algorithms and Data Structures</c:v>
                </c:pt>
                <c:pt idx="1">
                  <c:v>Computational Thinking</c:v>
                </c:pt>
                <c:pt idx="2">
                  <c:v>Computer Systems</c:v>
                </c:pt>
                <c:pt idx="3">
                  <c:v>Discrete Mathematics</c:v>
                </c:pt>
                <c:pt idx="4">
                  <c:v>Mathematics for Computer Science</c:v>
                </c:pt>
                <c:pt idx="5">
                  <c:v>Programming (Black)</c:v>
                </c:pt>
                <c:pt idx="6">
                  <c:v>Overall</c:v>
                </c:pt>
              </c:strCache>
            </c:strRef>
          </c:cat>
          <c:val>
            <c:numRef>
              <c:f>Calculator!$D$40:$D$46</c:f>
              <c:numCache>
                <c:formatCode>0.0%</c:formatCode>
                <c:ptCount val="7"/>
                <c:pt idx="0">
                  <c:v>0.33999999999999997</c:v>
                </c:pt>
                <c:pt idx="1">
                  <c:v>1</c:v>
                </c:pt>
                <c:pt idx="2">
                  <c:v>1</c:v>
                </c:pt>
                <c:pt idx="3">
                  <c:v>0.99999999999999989</c:v>
                </c:pt>
                <c:pt idx="4">
                  <c:v>1</c:v>
                </c:pt>
                <c:pt idx="5">
                  <c:v>1</c:v>
                </c:pt>
                <c:pt idx="6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F-4D7E-B471-16C8A72BF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84080"/>
        <c:axId val="99386000"/>
      </c:barChart>
      <c:catAx>
        <c:axId val="9938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86000"/>
        <c:crosses val="autoZero"/>
        <c:auto val="1"/>
        <c:lblAlgn val="ctr"/>
        <c:lblOffset val="100"/>
        <c:noMultiLvlLbl val="0"/>
      </c:catAx>
      <c:valAx>
        <c:axId val="99386000"/>
        <c:scaling>
          <c:orientation val="minMax"/>
          <c:max val="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568960</xdr:colOff>
      <xdr:row>3</xdr:row>
      <xdr:rowOff>10160</xdr:rowOff>
    </xdr:from>
    <xdr:to>
      <xdr:col>11</xdr:col>
      <xdr:colOff>568960</xdr:colOff>
      <xdr:row>11</xdr:row>
      <xdr:rowOff>116840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C47DBB8-61FC-7A28-64B3-759843C45930}"/>
            </a:ext>
          </a:extLst>
        </xdr:cNvPr>
        <xdr:cNvCxnSpPr/>
      </xdr:nvCxnSpPr>
      <xdr:spPr>
        <a:xfrm>
          <a:off x="7386320" y="558800"/>
          <a:ext cx="0" cy="1590040"/>
        </a:xfrm>
        <a:prstGeom prst="line">
          <a:avLst/>
        </a:prstGeom>
        <a:ln>
          <a:solidFill>
            <a:srgbClr val="8E7C32"/>
          </a:solidFill>
          <a:prstDash val="sysDot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467360</xdr:colOff>
      <xdr:row>3</xdr:row>
      <xdr:rowOff>15240</xdr:rowOff>
    </xdr:from>
    <xdr:to>
      <xdr:col>10</xdr:col>
      <xdr:colOff>467360</xdr:colOff>
      <xdr:row>11</xdr:row>
      <xdr:rowOff>121920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AD281E3-D6CD-4922-86C8-D20BD0DF6EC5}"/>
            </a:ext>
          </a:extLst>
        </xdr:cNvPr>
        <xdr:cNvCxnSpPr/>
      </xdr:nvCxnSpPr>
      <xdr:spPr>
        <a:xfrm>
          <a:off x="6675120" y="563880"/>
          <a:ext cx="0" cy="159004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sysDot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370840</xdr:colOff>
      <xdr:row>3</xdr:row>
      <xdr:rowOff>10160</xdr:rowOff>
    </xdr:from>
    <xdr:to>
      <xdr:col>9</xdr:col>
      <xdr:colOff>370840</xdr:colOff>
      <xdr:row>11</xdr:row>
      <xdr:rowOff>116840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F322A9A-B5CD-415D-ACFF-8B9DA3AA3A99}"/>
            </a:ext>
          </a:extLst>
        </xdr:cNvPr>
        <xdr:cNvCxnSpPr/>
      </xdr:nvCxnSpPr>
      <xdr:spPr>
        <a:xfrm>
          <a:off x="5969000" y="558800"/>
          <a:ext cx="0" cy="1590040"/>
        </a:xfrm>
        <a:prstGeom prst="line">
          <a:avLst/>
        </a:prstGeom>
        <a:ln>
          <a:solidFill>
            <a:srgbClr val="7B5145"/>
          </a:solidFill>
          <a:prstDash val="sysDot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269875</xdr:colOff>
      <xdr:row>3</xdr:row>
      <xdr:rowOff>3175</xdr:rowOff>
    </xdr:from>
    <xdr:to>
      <xdr:col>8</xdr:col>
      <xdr:colOff>269875</xdr:colOff>
      <xdr:row>11</xdr:row>
      <xdr:rowOff>109855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B4CAE83-419F-4E77-A0D7-EC02A5627395}"/>
            </a:ext>
          </a:extLst>
        </xdr:cNvPr>
        <xdr:cNvCxnSpPr/>
      </xdr:nvCxnSpPr>
      <xdr:spPr>
        <a:xfrm>
          <a:off x="5254625" y="558800"/>
          <a:ext cx="0" cy="1598930"/>
        </a:xfrm>
        <a:prstGeom prst="line">
          <a:avLst/>
        </a:prstGeom>
        <a:ln>
          <a:solidFill>
            <a:srgbClr val="700000"/>
          </a:solidFill>
          <a:prstDash val="sysDot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25</xdr:row>
      <xdr:rowOff>0</xdr:rowOff>
    </xdr:from>
    <xdr:to>
      <xdr:col>8</xdr:col>
      <xdr:colOff>0</xdr:colOff>
      <xdr:row>39</xdr:row>
      <xdr:rowOff>165100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D3234264-7884-4654-A205-51F0DAB7C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596900</xdr:colOff>
      <xdr:row>24</xdr:row>
      <xdr:rowOff>222250</xdr:rowOff>
    </xdr:from>
    <xdr:to>
      <xdr:col>16</xdr:col>
      <xdr:colOff>6350</xdr:colOff>
      <xdr:row>39</xdr:row>
      <xdr:rowOff>146050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5838F217-8F96-4831-9F6A-3CBA9687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69850</xdr:colOff>
      <xdr:row>40</xdr:row>
      <xdr:rowOff>6350</xdr:rowOff>
    </xdr:from>
    <xdr:to>
      <xdr:col>16</xdr:col>
      <xdr:colOff>44450</xdr:colOff>
      <xdr:row>54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304559-EF5F-485F-A0A2-5395C19FA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40</xdr:row>
      <xdr:rowOff>76200</xdr:rowOff>
    </xdr:from>
    <xdr:to>
      <xdr:col>8</xdr:col>
      <xdr:colOff>82550</xdr:colOff>
      <xdr:row>55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577B0D-C01F-40CC-BDC8-B98BD5D7D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15875</xdr:colOff>
      <xdr:row>2</xdr:row>
      <xdr:rowOff>57150</xdr:rowOff>
    </xdr:from>
    <xdr:to>
      <xdr:col>15</xdr:col>
      <xdr:colOff>577273</xdr:colOff>
      <xdr:row>13</xdr:row>
      <xdr:rowOff>36080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D25FBF-0D68-FBF4-C861-2AE9B9DB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8748-525A-409A-8899-BAF128F9A9A5}">
  <dimension ref="B2:AG25"/>
  <sheetViews>
    <sheetView tabSelected="1" zoomScale="86" zoomScaleNormal="120" workbookViewId="0">
      <selection activeCell="T8" sqref="T8"/>
    </sheetView>
  </sheetViews>
  <sheetFormatPr defaultColWidth="8.7265625" defaultRowHeight="14.5" x14ac:dyDescent="0.35"/>
  <cols>
    <col min="1" max="1" width="8.7265625" style="3"/>
    <col min="2" max="2" width="11" style="3" bestFit="1" customWidth="1"/>
    <col min="3" max="3" width="8.08984375" style="3" customWidth="1"/>
    <col min="4" max="18" width="8.7265625" style="3"/>
    <col min="19" max="19" width="11.81640625" style="3" bestFit="1" customWidth="1"/>
    <col min="20" max="20" width="12.08984375" style="3" bestFit="1" customWidth="1"/>
    <col min="21" max="21" width="7.453125" style="3" bestFit="1" customWidth="1"/>
    <col min="22" max="32" width="8.7265625" style="3"/>
    <col min="33" max="34" width="2.453125" style="3" customWidth="1"/>
    <col min="35" max="16384" width="8.7265625" style="3"/>
  </cols>
  <sheetData>
    <row r="2" spans="2:33" x14ac:dyDescent="0.35">
      <c r="B2" s="15" t="str">
        <f>"Achieved vs. Possible Module Scores (" &amp; ROUND(AVERAGEIF(Calculator!D40:D45, "&gt;0", Calculator!C40:C45)*100, 0) &amp; "%  vs.  " &amp; ROUND(AVERAGEIF(Calculator!D40:D45, "&gt;0")*100, 0) &amp; "%, " &amp; ROUND((AVERAGEIF(Calculator!D40:D45, "&gt;0", Calculator!C40:C45)/AVERAGEIF(Calculator!D40:D45, "&gt;0"))*100,0) &amp; "% Average)"</f>
        <v>Achieved vs. Possible Module Scores (57%  vs.  89%, 64% Average)</v>
      </c>
      <c r="R2" s="20" t="s">
        <v>149</v>
      </c>
    </row>
    <row r="3" spans="2:33" x14ac:dyDescent="0.35">
      <c r="R3" s="64" t="s">
        <v>141</v>
      </c>
      <c r="S3" s="64" t="s">
        <v>139</v>
      </c>
      <c r="T3" s="65" t="s">
        <v>140</v>
      </c>
      <c r="U3" s="68" t="s">
        <v>148</v>
      </c>
    </row>
    <row r="4" spans="2:33" x14ac:dyDescent="0.35">
      <c r="R4" s="67" t="s">
        <v>142</v>
      </c>
      <c r="S4" s="66">
        <f>IF(Calculator!F40 &gt; 0, Calculator!F40, "1st Achieved")</f>
        <v>0.67424242424242409</v>
      </c>
      <c r="T4" s="66" cm="1">
        <f t="array" ref="T4">_xlfn.IFS(S4="1st Achieved", "-", Calculator!G40 &gt; 0, Calculator!G40, TRUE, "2:1 Achieved")</f>
        <v>0.52272727272727271</v>
      </c>
      <c r="U4" s="66" cm="1">
        <f t="array" ref="U4">_xlfn.IFS(T4="-", "-", T4="2:1 Achieved", "-", Calculator!H40 &gt; 0, Calculator!H40, TRUE, "Passed")</f>
        <v>0.37121212121212122</v>
      </c>
    </row>
    <row r="5" spans="2:33" x14ac:dyDescent="0.35">
      <c r="R5" s="67" t="s">
        <v>143</v>
      </c>
      <c r="S5" s="66" t="str">
        <f>IF(Calculator!F41 &gt; 0, Calculator!F41, "1st Achieved")</f>
        <v>1st Achieved</v>
      </c>
      <c r="T5" s="66" t="str" cm="1">
        <f t="array" ref="T5">_xlfn.IFS(S5="1st Achieved", "-", Calculator!G41 &gt; 0, Calculator!G41, TRUE, "2:1 Achieved")</f>
        <v>-</v>
      </c>
      <c r="U5" s="66" t="str" cm="1">
        <f t="array" ref="U5">_xlfn.IFS(T5="-", "-", T5="2:1 Achieved", "-", Calculator!H41 &gt; 0, Calculator!H41, TRUE, "Passed")</f>
        <v>-</v>
      </c>
    </row>
    <row r="6" spans="2:33" x14ac:dyDescent="0.35">
      <c r="R6" s="67" t="s">
        <v>144</v>
      </c>
      <c r="S6" s="66">
        <f>IF(Calculator!F42 &gt; 0, Calculator!F42, "1st Achieved")</f>
        <v>1</v>
      </c>
      <c r="T6" s="66" t="str" cm="1">
        <f t="array" ref="T6">_xlfn.IFS(S6="1st Achieved", "-", Calculator!G42 &gt; 0, Calculator!G42, TRUE, "2:1 Achieved")</f>
        <v>2:1 Achieved</v>
      </c>
      <c r="U6" s="66" t="str" cm="1">
        <f t="array" ref="U6">_xlfn.IFS(T6="-", "-", T6="2:1 Achieved", "-", Calculator!H42 &gt; 0, Calculator!H42, TRUE, "Passed")</f>
        <v>-</v>
      </c>
    </row>
    <row r="7" spans="2:33" x14ac:dyDescent="0.35">
      <c r="R7" s="67" t="s">
        <v>145</v>
      </c>
      <c r="S7" s="66">
        <f>IF(Calculator!F43 &gt; 0, Calculator!F43, "1st Achieved")</f>
        <v>1</v>
      </c>
      <c r="T7" s="66" cm="1">
        <f t="array" ref="T7">_xlfn.IFS(S7="1st Achieved", "-", Calculator!G43 &gt; 0, Calculator!G43, TRUE, "2:1 Achieved")</f>
        <v>1</v>
      </c>
      <c r="U7" s="66" t="str" cm="1">
        <f t="array" ref="U7">_xlfn.IFS(T7="-", "-", T7="2:1 Achieved", "-", Calculator!H43 &gt; 0, Calculator!H43, TRUE, "Passed")</f>
        <v>Passed</v>
      </c>
    </row>
    <row r="8" spans="2:33" x14ac:dyDescent="0.35">
      <c r="R8" s="67" t="s">
        <v>146</v>
      </c>
      <c r="S8" s="66">
        <f>IF(Calculator!F44 &gt; 0, Calculator!F44, "1st Achieved")</f>
        <v>1</v>
      </c>
      <c r="T8" s="66" t="str" cm="1">
        <f t="array" ref="T8">_xlfn.IFS(S8="1st Achieved", "-", Calculator!G44 &gt; 0, Calculator!G44, TRUE, "2:1 Achieved")</f>
        <v>2:1 Achieved</v>
      </c>
      <c r="U8" s="66" t="str" cm="1">
        <f t="array" ref="U8">_xlfn.IFS(T8="-", "-", T8="2:1 Achieved", "-", Calculator!H44 &gt; 0, Calculator!H44, TRUE, "Passed")</f>
        <v>-</v>
      </c>
    </row>
    <row r="9" spans="2:33" x14ac:dyDescent="0.35">
      <c r="R9" s="67" t="s">
        <v>147</v>
      </c>
      <c r="S9" s="66" t="str">
        <f>IF(Calculator!F45 &gt; 0, Calculator!F45, "1st Achieved")</f>
        <v>1st Achieved</v>
      </c>
      <c r="T9" s="66" t="str" cm="1">
        <f t="array" ref="T9">_xlfn.IFS(S9="1st Achieved", "-", Calculator!G45 &gt; 0, Calculator!G45, TRUE, "2:1 Achieved")</f>
        <v>-</v>
      </c>
      <c r="U9" s="66" t="str" cm="1">
        <f t="array" ref="U9">_xlfn.IFS(T9="-", "-", T9="2:1 Achieved", "-", Calculator!H45 &gt; 0, Calculator!H45, TRUE, "Passed")</f>
        <v>-</v>
      </c>
    </row>
    <row r="10" spans="2:33" ht="15" thickBot="1" x14ac:dyDescent="0.4">
      <c r="R10" s="71" t="s">
        <v>153</v>
      </c>
      <c r="S10" s="70">
        <f>IF(Calculator!F46 &gt; 0, Calculator!F46, "1st Achieved")</f>
        <v>1.1642317560633064</v>
      </c>
      <c r="T10" s="70" cm="1">
        <f t="array" ref="T10">_xlfn.IFS(S10="1st Achieved", "-", Calculator!G46 &gt; 0, Calculator!G46, TRUE, "2:1 Achieved")</f>
        <v>0.25514084697239742</v>
      </c>
      <c r="U10" s="70" t="str" cm="1">
        <f t="array" ref="U10">_xlfn.IFS(T10="-", "-", T10="2:1 Achieved", "-", Calculator!H46 &gt; 0, Calculator!H46, TRUE, "Passed")</f>
        <v>Passed</v>
      </c>
    </row>
    <row r="11" spans="2:33" ht="15" thickTop="1" x14ac:dyDescent="0.35"/>
    <row r="15" spans="2:33" ht="19" customHeight="1" thickBot="1" x14ac:dyDescent="0.4">
      <c r="B15" s="15" t="str">
        <f>COUNTIF('Attendence Tracker'!$F$2:$AI$1001, "Attended") &amp; " classes attended this academic year (" &amp; COUNTA('Attendence Tracker'!$F$2:$AI$1001) &amp; " possible, " &amp; COUNTIF('Attendence Tracker'!$F$2:$AI$1001, "Missed") &amp; " to catch up on, " &amp; ROUND(Calculator!$AG$27,3)*100 &amp; "% average attendence)."</f>
        <v>99 classes attended this academic year (287 possible, 15 to catch up on, 34.5% average attendence).</v>
      </c>
    </row>
    <row r="16" spans="2:33" ht="4.5" customHeight="1" x14ac:dyDescent="0.3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8"/>
    </row>
    <row r="17" spans="2:33" ht="15" thickBot="1" x14ac:dyDescent="0.4">
      <c r="B17" s="9"/>
      <c r="C17" s="4" t="s">
        <v>28</v>
      </c>
      <c r="D17" s="4"/>
      <c r="E17" s="4"/>
      <c r="F17" s="4"/>
      <c r="G17" s="4" t="s">
        <v>32</v>
      </c>
      <c r="H17" s="4"/>
      <c r="I17" s="4"/>
      <c r="J17" s="4"/>
      <c r="K17" s="4"/>
      <c r="L17" s="4" t="s">
        <v>37</v>
      </c>
      <c r="M17" s="4"/>
      <c r="N17" s="4"/>
      <c r="O17" s="4"/>
      <c r="P17" s="4"/>
      <c r="Q17" s="4" t="s">
        <v>43</v>
      </c>
      <c r="R17" s="4"/>
      <c r="S17" s="4"/>
      <c r="T17" s="4"/>
      <c r="U17" s="4"/>
      <c r="V17" s="4" t="s">
        <v>44</v>
      </c>
      <c r="W17" s="4"/>
      <c r="X17" s="4"/>
      <c r="Y17" s="4"/>
      <c r="Z17" s="4"/>
      <c r="AA17" s="4" t="s">
        <v>45</v>
      </c>
      <c r="AB17" s="4"/>
      <c r="AC17" s="4"/>
      <c r="AD17" s="4"/>
      <c r="AE17" s="4"/>
      <c r="AF17" s="4" t="s">
        <v>46</v>
      </c>
      <c r="AG17" s="10"/>
    </row>
    <row r="18" spans="2:33" ht="15.5" thickTop="1" thickBot="1" x14ac:dyDescent="0.4">
      <c r="B18" s="11" t="s">
        <v>7</v>
      </c>
      <c r="C18" s="5">
        <f>Calculator!C22</f>
        <v>0</v>
      </c>
      <c r="D18" s="5">
        <f>Calculator!D22</f>
        <v>1</v>
      </c>
      <c r="E18" s="5">
        <f>Calculator!E22</f>
        <v>0.5</v>
      </c>
      <c r="F18" s="5">
        <f>Calculator!F22</f>
        <v>0</v>
      </c>
      <c r="G18" s="5">
        <f>Calculator!G22</f>
        <v>0.5</v>
      </c>
      <c r="H18" s="5">
        <f>Calculator!H22</f>
        <v>0.5</v>
      </c>
      <c r="I18" s="5">
        <f>Calculator!I22</f>
        <v>0.75</v>
      </c>
      <c r="J18" s="5">
        <f>Calculator!J22</f>
        <v>0</v>
      </c>
      <c r="K18" s="5">
        <f>Calculator!K22</f>
        <v>0.5</v>
      </c>
      <c r="L18" s="5">
        <f>Calculator!L22</f>
        <v>0.5</v>
      </c>
      <c r="M18" s="5">
        <f>Calculator!M22</f>
        <v>1</v>
      </c>
      <c r="N18" s="5">
        <f>Calculator!N22</f>
        <v>0.66666666666666663</v>
      </c>
      <c r="O18" s="5">
        <f>Calculator!O22</f>
        <v>0.33333333333333331</v>
      </c>
      <c r="P18" s="5">
        <f>Calculator!P22</f>
        <v>0.66666666666666663</v>
      </c>
      <c r="Q18" s="5">
        <f>Calculator!Q22</f>
        <v>0.33333333333333331</v>
      </c>
      <c r="R18" s="5">
        <f>Calculator!R22</f>
        <v>0</v>
      </c>
      <c r="S18" s="5">
        <f>Calculator!S22</f>
        <v>0.33333333333333331</v>
      </c>
      <c r="T18" s="5">
        <f>Calculator!T22</f>
        <v>0.33333333333333331</v>
      </c>
      <c r="U18" s="5">
        <f>Calculator!U22</f>
        <v>0.33333333333333331</v>
      </c>
      <c r="V18" s="5">
        <f>Calculator!V22</f>
        <v>0</v>
      </c>
      <c r="W18" s="5">
        <f>Calculator!W22</f>
        <v>0</v>
      </c>
      <c r="X18" s="5">
        <f>Calculator!X22</f>
        <v>0</v>
      </c>
      <c r="Y18" s="5">
        <f>Calculator!Y22</f>
        <v>0</v>
      </c>
      <c r="Z18" s="5">
        <f>Calculator!Z22</f>
        <v>0</v>
      </c>
      <c r="AA18" s="5">
        <f>Calculator!AA22</f>
        <v>0</v>
      </c>
      <c r="AB18" s="5">
        <f>Calculator!AB22</f>
        <v>0</v>
      </c>
      <c r="AC18" s="5">
        <f>Calculator!AC22</f>
        <v>0</v>
      </c>
      <c r="AD18" s="5">
        <f>Calculator!AD22</f>
        <v>0</v>
      </c>
      <c r="AE18" s="5">
        <f>Calculator!AE22</f>
        <v>0</v>
      </c>
      <c r="AF18" s="5">
        <f>Calculator!AF22</f>
        <v>0</v>
      </c>
      <c r="AG18" s="10"/>
    </row>
    <row r="19" spans="2:33" ht="15.5" thickTop="1" thickBot="1" x14ac:dyDescent="0.4">
      <c r="B19" s="11"/>
      <c r="C19" s="5">
        <f>Calculator!C23</f>
        <v>0</v>
      </c>
      <c r="D19" s="5">
        <f>Calculator!D23</f>
        <v>1</v>
      </c>
      <c r="E19" s="5">
        <f>Calculator!E23</f>
        <v>0.33333333333333331</v>
      </c>
      <c r="F19" s="5">
        <f>Calculator!F23</f>
        <v>0</v>
      </c>
      <c r="G19" s="5">
        <f>Calculator!G23</f>
        <v>0.66666666666666663</v>
      </c>
      <c r="H19" s="5">
        <f>Calculator!H23</f>
        <v>0.33333333333333331</v>
      </c>
      <c r="I19" s="5">
        <f>Calculator!I23</f>
        <v>0.33333333333333331</v>
      </c>
      <c r="J19" s="5">
        <f>Calculator!J23</f>
        <v>0.33333333333333331</v>
      </c>
      <c r="K19" s="5">
        <f>Calculator!K23</f>
        <v>0.33333333333333331</v>
      </c>
      <c r="L19" s="5">
        <f>Calculator!L23</f>
        <v>0</v>
      </c>
      <c r="M19" s="5">
        <f>Calculator!M23</f>
        <v>1</v>
      </c>
      <c r="N19" s="5">
        <f>Calculator!N23</f>
        <v>0.66666666666666663</v>
      </c>
      <c r="O19" s="5">
        <f>Calculator!O23</f>
        <v>0.33333333333333331</v>
      </c>
      <c r="P19" s="5">
        <f>Calculator!P23</f>
        <v>1</v>
      </c>
      <c r="Q19" s="5">
        <f>Calculator!Q23</f>
        <v>0.5</v>
      </c>
      <c r="R19" s="5">
        <f>Calculator!R23</f>
        <v>0</v>
      </c>
      <c r="S19" s="5">
        <f>Calculator!S23</f>
        <v>0.5</v>
      </c>
      <c r="T19" s="5">
        <f>Calculator!T23</f>
        <v>0.5</v>
      </c>
      <c r="U19" s="5">
        <f>Calculator!U23</f>
        <v>0.5</v>
      </c>
      <c r="V19" s="5">
        <f>Calculator!V23</f>
        <v>0.5</v>
      </c>
      <c r="W19" s="5">
        <f>Calculator!W23</f>
        <v>0</v>
      </c>
      <c r="X19" s="5">
        <f>Calculator!X23</f>
        <v>0</v>
      </c>
      <c r="Y19" s="5">
        <f>Calculator!Y23</f>
        <v>0</v>
      </c>
      <c r="Z19" s="5">
        <f>Calculator!Z23</f>
        <v>0</v>
      </c>
      <c r="AA19" s="5">
        <f>Calculator!AA23</f>
        <v>0</v>
      </c>
      <c r="AB19" s="5">
        <f>Calculator!AB23</f>
        <v>0</v>
      </c>
      <c r="AC19" s="5">
        <f>Calculator!AC23</f>
        <v>0</v>
      </c>
      <c r="AD19" s="5">
        <f>Calculator!AD23</f>
        <v>0</v>
      </c>
      <c r="AE19" s="5">
        <f>Calculator!AE23</f>
        <v>0</v>
      </c>
      <c r="AF19" s="5">
        <f>Calculator!AF23</f>
        <v>0</v>
      </c>
      <c r="AG19" s="10"/>
    </row>
    <row r="20" spans="2:33" ht="15.5" thickTop="1" thickBot="1" x14ac:dyDescent="0.4">
      <c r="B20" s="11" t="s">
        <v>14</v>
      </c>
      <c r="C20" s="5">
        <f>Calculator!C24</f>
        <v>0</v>
      </c>
      <c r="D20" s="5">
        <f>Calculator!D24</f>
        <v>0</v>
      </c>
      <c r="E20" s="5">
        <f>Calculator!E24</f>
        <v>0</v>
      </c>
      <c r="F20" s="5">
        <f>Calculator!F24</f>
        <v>0.5</v>
      </c>
      <c r="G20" s="5">
        <f>Calculator!G24</f>
        <v>0</v>
      </c>
      <c r="H20" s="5">
        <f>Calculator!H24</f>
        <v>0</v>
      </c>
      <c r="I20" s="5">
        <f>Calculator!I24</f>
        <v>0</v>
      </c>
      <c r="J20" s="5">
        <f>Calculator!J24</f>
        <v>0</v>
      </c>
      <c r="K20" s="5">
        <f>Calculator!K24</f>
        <v>0</v>
      </c>
      <c r="L20" s="5">
        <f>Calculator!L24</f>
        <v>0</v>
      </c>
      <c r="M20" s="5">
        <f>Calculator!M24</f>
        <v>0</v>
      </c>
      <c r="N20" s="5">
        <f>Calculator!N24</f>
        <v>0.33333333333333331</v>
      </c>
      <c r="O20" s="5">
        <f>Calculator!O24</f>
        <v>0</v>
      </c>
      <c r="P20" s="5">
        <f>Calculator!P24</f>
        <v>0</v>
      </c>
      <c r="Q20" s="5">
        <f>Calculator!Q24</f>
        <v>0</v>
      </c>
      <c r="R20" s="5">
        <f>Calculator!R24</f>
        <v>0</v>
      </c>
      <c r="S20" s="5">
        <f>Calculator!S24</f>
        <v>0</v>
      </c>
      <c r="T20" s="5">
        <f>Calculator!T24</f>
        <v>0</v>
      </c>
      <c r="U20" s="5">
        <f>Calculator!U24</f>
        <v>0.33333333333333331</v>
      </c>
      <c r="V20" s="5">
        <f>Calculator!V24</f>
        <v>0</v>
      </c>
      <c r="W20" s="5">
        <f>Calculator!W24</f>
        <v>0</v>
      </c>
      <c r="X20" s="5">
        <f>Calculator!X24</f>
        <v>0</v>
      </c>
      <c r="Y20" s="5">
        <f>Calculator!Y24</f>
        <v>0</v>
      </c>
      <c r="Z20" s="5">
        <f>Calculator!Z24</f>
        <v>0</v>
      </c>
      <c r="AA20" s="5">
        <f>Calculator!AA24</f>
        <v>0</v>
      </c>
      <c r="AB20" s="5">
        <f>Calculator!AB24</f>
        <v>0</v>
      </c>
      <c r="AC20" s="5">
        <f>Calculator!AC24</f>
        <v>0</v>
      </c>
      <c r="AD20" s="5">
        <f>Calculator!AD24</f>
        <v>0</v>
      </c>
      <c r="AE20" s="5">
        <f>Calculator!AE24</f>
        <v>0</v>
      </c>
      <c r="AF20" s="5">
        <f>Calculator!AF24</f>
        <v>0</v>
      </c>
      <c r="AG20" s="10"/>
    </row>
    <row r="21" spans="2:33" ht="15.5" thickTop="1" thickBot="1" x14ac:dyDescent="0.4">
      <c r="B21" s="11"/>
      <c r="C21" s="5">
        <f>Calculator!C25</f>
        <v>0.66666666666666663</v>
      </c>
      <c r="D21" s="5">
        <f>Calculator!D25</f>
        <v>0.75</v>
      </c>
      <c r="E21" s="5">
        <f>Calculator!E25</f>
        <v>0.25</v>
      </c>
      <c r="F21" s="5">
        <f>Calculator!F25</f>
        <v>0.25</v>
      </c>
      <c r="G21" s="5">
        <f>Calculator!G25</f>
        <v>0.25</v>
      </c>
      <c r="H21" s="5">
        <f>Calculator!H25</f>
        <v>0.75</v>
      </c>
      <c r="I21" s="5">
        <f>Calculator!I25</f>
        <v>0</v>
      </c>
      <c r="J21" s="5">
        <f>Calculator!J25</f>
        <v>0.25</v>
      </c>
      <c r="K21" s="5">
        <f>Calculator!K25</f>
        <v>0</v>
      </c>
      <c r="L21" s="5">
        <f>Calculator!L25</f>
        <v>0.25</v>
      </c>
      <c r="M21" s="5">
        <f>Calculator!M25</f>
        <v>1</v>
      </c>
      <c r="N21" s="5">
        <f>Calculator!N25</f>
        <v>0</v>
      </c>
      <c r="O21" s="5">
        <f>Calculator!O25</f>
        <v>0.25</v>
      </c>
      <c r="P21" s="5">
        <f>Calculator!P25</f>
        <v>0.66666666666666663</v>
      </c>
      <c r="Q21" s="5">
        <f>Calculator!Q25</f>
        <v>0</v>
      </c>
      <c r="R21" s="5">
        <f>Calculator!R25</f>
        <v>0</v>
      </c>
      <c r="S21" s="5">
        <f>Calculator!S25</f>
        <v>0.33333333333333331</v>
      </c>
      <c r="T21" s="5">
        <f>Calculator!T25</f>
        <v>0.33333333333333331</v>
      </c>
      <c r="U21" s="5">
        <f>Calculator!U25</f>
        <v>0.33333333333333331</v>
      </c>
      <c r="V21" s="5">
        <f>Calculator!V25</f>
        <v>0.5</v>
      </c>
      <c r="W21" s="5">
        <f>Calculator!W25</f>
        <v>0</v>
      </c>
      <c r="X21" s="5">
        <f>Calculator!X25</f>
        <v>0</v>
      </c>
      <c r="Y21" s="5">
        <f>Calculator!Y25</f>
        <v>0</v>
      </c>
      <c r="Z21" s="5">
        <f>Calculator!Z25</f>
        <v>0</v>
      </c>
      <c r="AA21" s="5">
        <f>Calculator!AA25</f>
        <v>0</v>
      </c>
      <c r="AB21" s="5">
        <f>Calculator!AB25</f>
        <v>0</v>
      </c>
      <c r="AC21" s="5">
        <f>Calculator!AC25</f>
        <v>0</v>
      </c>
      <c r="AD21" s="5">
        <f>Calculator!AD25</f>
        <v>0</v>
      </c>
      <c r="AE21" s="5">
        <f>Calculator!AE25</f>
        <v>0</v>
      </c>
      <c r="AF21" s="5">
        <f>Calculator!AF25</f>
        <v>0</v>
      </c>
      <c r="AG21" s="10"/>
    </row>
    <row r="22" spans="2:33" ht="15.5" thickTop="1" thickBot="1" x14ac:dyDescent="0.4">
      <c r="B22" s="11" t="s">
        <v>15</v>
      </c>
      <c r="C22" s="5">
        <f>Calculator!C26</f>
        <v>0</v>
      </c>
      <c r="D22" s="5">
        <f>Calculator!D26</f>
        <v>0.33333333333333331</v>
      </c>
      <c r="E22" s="5">
        <f>Calculator!E26</f>
        <v>0</v>
      </c>
      <c r="F22" s="5">
        <f>Calculator!F26</f>
        <v>1</v>
      </c>
      <c r="G22" s="5">
        <f>Calculator!G26</f>
        <v>0.66666666666666663</v>
      </c>
      <c r="H22" s="5">
        <f>Calculator!H26</f>
        <v>0.5</v>
      </c>
      <c r="I22" s="5">
        <f>Calculator!I26</f>
        <v>0</v>
      </c>
      <c r="J22" s="5">
        <f>Calculator!J26</f>
        <v>0.5</v>
      </c>
      <c r="K22" s="5">
        <f>Calculator!K26</f>
        <v>0.5</v>
      </c>
      <c r="L22" s="5">
        <f>Calculator!L26</f>
        <v>0.33333333333333331</v>
      </c>
      <c r="M22" s="5">
        <f>Calculator!M26</f>
        <v>0</v>
      </c>
      <c r="N22" s="5">
        <f>Calculator!N26</f>
        <v>0</v>
      </c>
      <c r="O22" s="5">
        <f>Calculator!O26</f>
        <v>0</v>
      </c>
      <c r="P22" s="5">
        <f>Calculator!P26</f>
        <v>1</v>
      </c>
      <c r="Q22" s="5">
        <f>Calculator!Q26</f>
        <v>0.33333333333333331</v>
      </c>
      <c r="R22" s="5">
        <f>Calculator!R26</f>
        <v>0.66666666666666663</v>
      </c>
      <c r="S22" s="5">
        <f>Calculator!S26</f>
        <v>0.66666666666666663</v>
      </c>
      <c r="T22" s="5">
        <f>Calculator!T26</f>
        <v>0.33333333333333331</v>
      </c>
      <c r="U22" s="5">
        <f>Calculator!U26</f>
        <v>0.33333333333333331</v>
      </c>
      <c r="V22" s="5">
        <f>Calculator!V26</f>
        <v>0</v>
      </c>
      <c r="W22" s="5">
        <f>Calculator!W26</f>
        <v>0</v>
      </c>
      <c r="X22" s="5">
        <f>Calculator!X26</f>
        <v>0</v>
      </c>
      <c r="Y22" s="5">
        <f>Calculator!Y26</f>
        <v>0</v>
      </c>
      <c r="Z22" s="5">
        <f>Calculator!Z26</f>
        <v>0</v>
      </c>
      <c r="AA22" s="5">
        <f>Calculator!AA26</f>
        <v>0</v>
      </c>
      <c r="AB22" s="5">
        <f>Calculator!AB26</f>
        <v>0</v>
      </c>
      <c r="AC22" s="5">
        <f>Calculator!AC26</f>
        <v>0</v>
      </c>
      <c r="AD22" s="5">
        <f>Calculator!AD26</f>
        <v>0</v>
      </c>
      <c r="AE22" s="5">
        <f>Calculator!AE26</f>
        <v>0</v>
      </c>
      <c r="AF22" s="5">
        <f>Calculator!AF26</f>
        <v>0</v>
      </c>
      <c r="AG22" s="10"/>
    </row>
    <row r="23" spans="2:33" ht="11.15" customHeight="1" thickTop="1" thickBot="1" x14ac:dyDescent="0.4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4"/>
    </row>
    <row r="25" spans="2:33" ht="19" customHeight="1" x14ac:dyDescent="0.35">
      <c r="B25" s="72" t="str">
        <f ca="1">SUM(Calculator!L31:L36) &amp; " summatives completed this academic year. (Average: " &amp; ROUND(AVERAGEIF(Calculator!P31:P36, "&gt;0"),2)*100 &amp; "%)"</f>
        <v>17 summatives completed this academic year. (Average: 73%)</v>
      </c>
      <c r="C25" s="72"/>
      <c r="D25" s="72"/>
      <c r="E25" s="72"/>
      <c r="F25" s="72"/>
      <c r="G25" s="72"/>
      <c r="H25" s="72"/>
      <c r="J25" s="72" t="str">
        <f ca="1">SUM(Calculator!D31:D36) &amp; " formatives completed this academic year. (Average: " &amp; ROUND(AVERAGEIF(Calculator!H31:H36, "&gt;0"),2)*100 &amp; "%)"</f>
        <v>27 formatives completed this academic year. (Average: 80%)</v>
      </c>
      <c r="K25" s="72"/>
      <c r="L25" s="72"/>
      <c r="M25" s="72"/>
      <c r="N25" s="72"/>
      <c r="O25" s="72"/>
      <c r="P25" s="72"/>
    </row>
  </sheetData>
  <mergeCells count="2">
    <mergeCell ref="J25:P25"/>
    <mergeCell ref="B25:H25"/>
  </mergeCells>
  <conditionalFormatting sqref="C18:AF22">
    <cfRule type="colorScale" priority="4">
      <colorScale>
        <cfvo type="min"/>
        <cfvo type="max"/>
        <color theme="1" tint="0.249977111117893"/>
        <color rgb="FF63BE7B"/>
      </colorScale>
    </cfRule>
  </conditionalFormatting>
  <conditionalFormatting sqref="S4:U10">
    <cfRule type="cellIs" dxfId="25" priority="1" operator="equal">
      <formula>"2:1 Achieved"</formula>
    </cfRule>
    <cfRule type="cellIs" dxfId="24" priority="2" operator="equal">
      <formula>"1st Achieved"</formula>
    </cfRule>
    <cfRule type="cellIs" dxfId="23" priority="3" operator="equal">
      <formula>"Passed"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D366-24DA-480F-A940-97D69C04EDB9}">
  <dimension ref="A1:AI54"/>
  <sheetViews>
    <sheetView zoomScale="95" zoomScaleNormal="100" workbookViewId="0">
      <pane xSplit="5" ySplit="1" topLeftCell="T2" activePane="bottomRight" state="frozen"/>
      <selection activeCell="A2" sqref="A2"/>
      <selection pane="topRight" activeCell="F1" sqref="F1"/>
      <selection pane="bottomLeft" activeCell="A2" sqref="A2"/>
      <selection pane="bottomRight" activeCell="V1" sqref="V1:V1048576"/>
    </sheetView>
  </sheetViews>
  <sheetFormatPr defaultColWidth="8.7265625" defaultRowHeight="14.5" x14ac:dyDescent="0.35"/>
  <cols>
    <col min="1" max="1" width="10.1796875" style="18" bestFit="1" customWidth="1"/>
    <col min="2" max="2" width="5.81640625" style="18" bestFit="1" customWidth="1"/>
    <col min="3" max="3" width="11.7265625" style="18" bestFit="1" customWidth="1"/>
    <col min="4" max="4" width="29.7265625" style="18" bestFit="1" customWidth="1"/>
    <col min="5" max="15" width="9.6328125" style="18" bestFit="1" customWidth="1"/>
    <col min="16" max="16384" width="8.7265625" style="18"/>
  </cols>
  <sheetData>
    <row r="1" spans="1:35" ht="15" thickBot="1" x14ac:dyDescent="0.4">
      <c r="A1" s="16" t="s">
        <v>0</v>
      </c>
      <c r="B1" s="23" t="s">
        <v>1</v>
      </c>
      <c r="C1" s="16" t="s">
        <v>3</v>
      </c>
      <c r="D1" s="23" t="s">
        <v>4</v>
      </c>
      <c r="E1" s="17" t="s">
        <v>2</v>
      </c>
      <c r="F1" s="21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  <c r="L1" s="20" t="s">
        <v>34</v>
      </c>
      <c r="M1" s="20" t="s">
        <v>35</v>
      </c>
      <c r="N1" s="20" t="s">
        <v>36</v>
      </c>
      <c r="O1" s="20" t="s">
        <v>37</v>
      </c>
      <c r="P1" s="20" t="s">
        <v>47</v>
      </c>
      <c r="Q1" s="20" t="s">
        <v>48</v>
      </c>
      <c r="R1" s="20" t="s">
        <v>49</v>
      </c>
      <c r="S1" s="20" t="s">
        <v>50</v>
      </c>
      <c r="T1" s="20" t="s">
        <v>43</v>
      </c>
      <c r="U1" s="20" t="s">
        <v>51</v>
      </c>
      <c r="V1" s="20" t="s">
        <v>52</v>
      </c>
      <c r="W1" s="20" t="s">
        <v>53</v>
      </c>
      <c r="X1" s="20" t="s">
        <v>54</v>
      </c>
      <c r="Y1" s="20" t="s">
        <v>44</v>
      </c>
      <c r="Z1" s="20" t="s">
        <v>55</v>
      </c>
      <c r="AA1" s="20" t="s">
        <v>56</v>
      </c>
      <c r="AB1" s="20" t="s">
        <v>57</v>
      </c>
      <c r="AC1" s="20" t="s">
        <v>58</v>
      </c>
      <c r="AD1" s="20" t="s">
        <v>45</v>
      </c>
      <c r="AE1" s="20" t="s">
        <v>59</v>
      </c>
      <c r="AF1" s="20" t="s">
        <v>60</v>
      </c>
      <c r="AG1" s="20" t="s">
        <v>61</v>
      </c>
      <c r="AH1" s="20" t="s">
        <v>62</v>
      </c>
      <c r="AI1" s="20" t="s">
        <v>46</v>
      </c>
    </row>
    <row r="2" spans="1:35" ht="15.5" thickTop="1" thickBot="1" x14ac:dyDescent="0.4">
      <c r="A2" s="18" t="s">
        <v>17</v>
      </c>
      <c r="B2" s="25">
        <v>0.45833333333333331</v>
      </c>
      <c r="C2" s="18" t="s">
        <v>22</v>
      </c>
      <c r="D2" s="24" t="s">
        <v>5</v>
      </c>
      <c r="E2" s="18" t="s">
        <v>6</v>
      </c>
      <c r="F2" s="22"/>
      <c r="G2" s="22" t="s">
        <v>39</v>
      </c>
      <c r="H2" s="22" t="s">
        <v>39</v>
      </c>
      <c r="I2" s="22" t="s">
        <v>38</v>
      </c>
      <c r="J2" s="22" t="s">
        <v>39</v>
      </c>
      <c r="K2" s="22" t="s">
        <v>39</v>
      </c>
      <c r="L2" s="22" t="s">
        <v>39</v>
      </c>
      <c r="M2" s="22" t="s">
        <v>38</v>
      </c>
      <c r="N2" s="22" t="s">
        <v>39</v>
      </c>
      <c r="O2" s="22" t="s">
        <v>39</v>
      </c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spans="1:35" ht="15.5" thickTop="1" thickBot="1" x14ac:dyDescent="0.4">
      <c r="A3" s="18" t="s">
        <v>17</v>
      </c>
      <c r="B3" s="25">
        <v>0.58333333333333337</v>
      </c>
      <c r="C3" s="18" t="s">
        <v>23</v>
      </c>
      <c r="D3" s="24" t="s">
        <v>8</v>
      </c>
      <c r="E3" s="18" t="s">
        <v>6</v>
      </c>
      <c r="F3" s="26"/>
      <c r="G3" s="26" t="s">
        <v>39</v>
      </c>
      <c r="H3" s="26" t="s">
        <v>39</v>
      </c>
      <c r="I3" s="26" t="s">
        <v>38</v>
      </c>
      <c r="J3" s="26" t="s">
        <v>39</v>
      </c>
      <c r="K3" s="26" t="s">
        <v>39</v>
      </c>
      <c r="L3" s="26" t="s">
        <v>39</v>
      </c>
      <c r="M3" s="26" t="s">
        <v>38</v>
      </c>
      <c r="N3" s="26" t="s">
        <v>39</v>
      </c>
      <c r="O3" s="26" t="s">
        <v>39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 spans="1:35" ht="15.5" thickTop="1" thickBot="1" x14ac:dyDescent="0.4">
      <c r="A4" s="18" t="s">
        <v>17</v>
      </c>
      <c r="B4" s="25">
        <v>0.66666666666666663</v>
      </c>
      <c r="C4" s="18" t="s">
        <v>24</v>
      </c>
      <c r="D4" s="24" t="s">
        <v>9</v>
      </c>
      <c r="E4" s="18" t="s">
        <v>10</v>
      </c>
      <c r="F4" s="26" t="s">
        <v>38</v>
      </c>
      <c r="G4" s="26" t="s">
        <v>39</v>
      </c>
      <c r="H4" s="26" t="s">
        <v>38</v>
      </c>
      <c r="I4" s="26" t="s">
        <v>38</v>
      </c>
      <c r="J4" s="26" t="s">
        <v>38</v>
      </c>
      <c r="K4" s="26" t="s">
        <v>38</v>
      </c>
      <c r="L4" s="26" t="s">
        <v>39</v>
      </c>
      <c r="M4" s="26" t="s">
        <v>38</v>
      </c>
      <c r="N4" s="26" t="s">
        <v>38</v>
      </c>
      <c r="O4" s="26" t="s">
        <v>38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1:35" ht="15.5" thickTop="1" thickBot="1" x14ac:dyDescent="0.4">
      <c r="A5" s="18" t="s">
        <v>17</v>
      </c>
      <c r="B5" s="25">
        <v>0.70833333333333337</v>
      </c>
      <c r="C5" s="18" t="s">
        <v>23</v>
      </c>
      <c r="D5" s="24" t="s">
        <v>8</v>
      </c>
      <c r="E5" s="18" t="s">
        <v>10</v>
      </c>
      <c r="F5" s="51" t="s">
        <v>38</v>
      </c>
      <c r="G5" s="51" t="s">
        <v>39</v>
      </c>
      <c r="H5" s="51" t="s">
        <v>38</v>
      </c>
      <c r="I5" s="51" t="s">
        <v>38</v>
      </c>
      <c r="J5" s="51" t="s">
        <v>38</v>
      </c>
      <c r="K5" s="51" t="s">
        <v>38</v>
      </c>
      <c r="L5" s="51" t="s">
        <v>38</v>
      </c>
      <c r="M5" s="51" t="s">
        <v>38</v>
      </c>
      <c r="N5" s="52" t="s">
        <v>38</v>
      </c>
      <c r="O5" s="51" t="s">
        <v>38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35" ht="15.5" thickTop="1" thickBot="1" x14ac:dyDescent="0.4">
      <c r="A6" s="18" t="s">
        <v>18</v>
      </c>
      <c r="B6" s="25">
        <v>0.45833333333333331</v>
      </c>
      <c r="C6" s="18" t="s">
        <v>25</v>
      </c>
      <c r="D6" s="24" t="s">
        <v>11</v>
      </c>
      <c r="E6" s="18" t="s">
        <v>6</v>
      </c>
      <c r="F6" s="50"/>
      <c r="G6" s="50" t="s">
        <v>39</v>
      </c>
      <c r="H6" s="50" t="s">
        <v>39</v>
      </c>
      <c r="I6" s="50" t="s">
        <v>38</v>
      </c>
      <c r="J6" s="50" t="s">
        <v>39</v>
      </c>
      <c r="K6" s="50" t="s">
        <v>39</v>
      </c>
      <c r="L6" s="50" t="s">
        <v>39</v>
      </c>
      <c r="M6" s="50" t="s">
        <v>39</v>
      </c>
      <c r="N6" s="53" t="s">
        <v>39</v>
      </c>
      <c r="O6" s="50" t="s">
        <v>38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spans="1:35" ht="15.5" thickTop="1" thickBot="1" x14ac:dyDescent="0.4">
      <c r="A7" s="18" t="s">
        <v>18</v>
      </c>
      <c r="B7" s="25">
        <v>0.54166666666666663</v>
      </c>
      <c r="C7" s="18" t="s">
        <v>26</v>
      </c>
      <c r="D7" s="24" t="s">
        <v>12</v>
      </c>
      <c r="E7" s="18" t="s">
        <v>10</v>
      </c>
      <c r="F7" s="26" t="s">
        <v>38</v>
      </c>
      <c r="G7" s="26" t="s">
        <v>39</v>
      </c>
      <c r="H7" s="26" t="s">
        <v>38</v>
      </c>
      <c r="I7" s="26" t="s">
        <v>38</v>
      </c>
      <c r="J7" s="26" t="s">
        <v>39</v>
      </c>
      <c r="K7" s="26" t="s">
        <v>38</v>
      </c>
      <c r="L7" s="26" t="s">
        <v>38</v>
      </c>
      <c r="M7" s="26" t="s">
        <v>38</v>
      </c>
      <c r="N7" s="54" t="s">
        <v>38</v>
      </c>
      <c r="O7" s="26" t="s">
        <v>38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spans="1:35" ht="15.5" thickTop="1" thickBot="1" x14ac:dyDescent="0.4">
      <c r="A8" s="18" t="s">
        <v>18</v>
      </c>
      <c r="B8" s="25">
        <v>0.625</v>
      </c>
      <c r="C8" s="18" t="s">
        <v>27</v>
      </c>
      <c r="D8" s="24" t="s">
        <v>13</v>
      </c>
      <c r="E8" s="18" t="s">
        <v>10</v>
      </c>
      <c r="F8" s="51" t="s">
        <v>38</v>
      </c>
      <c r="G8" s="51" t="s">
        <v>39</v>
      </c>
      <c r="H8" s="51" t="s">
        <v>38</v>
      </c>
      <c r="I8" s="51" t="s">
        <v>38</v>
      </c>
      <c r="J8" s="51" t="s">
        <v>38</v>
      </c>
      <c r="K8" s="51" t="s">
        <v>38</v>
      </c>
      <c r="L8" s="51" t="s">
        <v>38</v>
      </c>
      <c r="M8" s="51" t="s">
        <v>38</v>
      </c>
      <c r="N8" s="52" t="s">
        <v>38</v>
      </c>
      <c r="O8" s="51" t="s">
        <v>38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 spans="1:35" ht="15.5" thickTop="1" thickBot="1" x14ac:dyDescent="0.4">
      <c r="A9" s="18" t="s">
        <v>19</v>
      </c>
      <c r="B9" s="25">
        <v>0.375</v>
      </c>
      <c r="C9" s="18" t="s">
        <v>24</v>
      </c>
      <c r="D9" s="24" t="s">
        <v>9</v>
      </c>
      <c r="E9" s="18" t="s">
        <v>10</v>
      </c>
      <c r="F9" s="50" t="s">
        <v>38</v>
      </c>
      <c r="G9" s="50" t="s">
        <v>38</v>
      </c>
      <c r="H9" s="50" t="s">
        <v>38</v>
      </c>
      <c r="I9" s="50" t="s">
        <v>39</v>
      </c>
      <c r="J9" s="50" t="s">
        <v>38</v>
      </c>
      <c r="K9" s="50" t="s">
        <v>38</v>
      </c>
      <c r="L9" s="50"/>
      <c r="M9" s="50" t="s">
        <v>38</v>
      </c>
      <c r="N9" s="53" t="s">
        <v>38</v>
      </c>
      <c r="O9" s="50" t="s">
        <v>38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 spans="1:35" ht="15.5" thickTop="1" thickBot="1" x14ac:dyDescent="0.4">
      <c r="A10" s="18" t="s">
        <v>19</v>
      </c>
      <c r="B10" s="25">
        <v>0.45833333333333331</v>
      </c>
      <c r="C10" s="18" t="s">
        <v>25</v>
      </c>
      <c r="D10" s="24" t="s">
        <v>11</v>
      </c>
      <c r="E10" s="18" t="s">
        <v>10</v>
      </c>
      <c r="F10" s="51" t="s">
        <v>38</v>
      </c>
      <c r="G10" s="51" t="s">
        <v>38</v>
      </c>
      <c r="H10" s="51" t="s">
        <v>38</v>
      </c>
      <c r="I10" s="51" t="s">
        <v>38</v>
      </c>
      <c r="J10" s="51" t="s">
        <v>38</v>
      </c>
      <c r="K10" s="51" t="s">
        <v>38</v>
      </c>
      <c r="L10" s="51" t="s">
        <v>38</v>
      </c>
      <c r="M10" s="51" t="s">
        <v>38</v>
      </c>
      <c r="N10" s="52" t="s">
        <v>38</v>
      </c>
      <c r="O10" s="51" t="s">
        <v>38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 spans="1:35" ht="15.5" thickTop="1" thickBot="1" x14ac:dyDescent="0.4">
      <c r="A11" s="18" t="s">
        <v>20</v>
      </c>
      <c r="B11" s="25">
        <v>0.45833333333333331</v>
      </c>
      <c r="C11" s="18" t="s">
        <v>24</v>
      </c>
      <c r="D11" s="24" t="s">
        <v>9</v>
      </c>
      <c r="E11" s="18" t="s">
        <v>6</v>
      </c>
      <c r="F11" s="50"/>
      <c r="G11" s="50" t="s">
        <v>39</v>
      </c>
      <c r="H11" s="50" t="s">
        <v>39</v>
      </c>
      <c r="I11" s="50" t="s">
        <v>39</v>
      </c>
      <c r="J11" s="50" t="s">
        <v>39</v>
      </c>
      <c r="K11" s="50" t="s">
        <v>39</v>
      </c>
      <c r="L11" s="50" t="s">
        <v>38</v>
      </c>
      <c r="M11" s="50" t="s">
        <v>39</v>
      </c>
      <c r="N11" s="53" t="s">
        <v>38</v>
      </c>
      <c r="O11" s="50" t="s">
        <v>39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 spans="1:35" ht="15.5" thickTop="1" thickBot="1" x14ac:dyDescent="0.4">
      <c r="A12" s="18" t="s">
        <v>20</v>
      </c>
      <c r="B12" s="25">
        <v>0.58333333333333337</v>
      </c>
      <c r="C12" s="18" t="s">
        <v>23</v>
      </c>
      <c r="D12" s="24" t="s">
        <v>8</v>
      </c>
      <c r="E12" s="18" t="s">
        <v>10</v>
      </c>
      <c r="F12" s="26" t="s">
        <v>39</v>
      </c>
      <c r="G12" s="26" t="s">
        <v>39</v>
      </c>
      <c r="H12" s="26" t="s">
        <v>38</v>
      </c>
      <c r="I12" s="26" t="s">
        <v>38</v>
      </c>
      <c r="J12" s="26" t="s">
        <v>38</v>
      </c>
      <c r="K12" s="26" t="s">
        <v>39</v>
      </c>
      <c r="L12" s="26" t="s">
        <v>38</v>
      </c>
      <c r="M12" s="26" t="s">
        <v>38</v>
      </c>
      <c r="N12" s="54" t="s">
        <v>38</v>
      </c>
      <c r="O12" s="26" t="s">
        <v>38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 spans="1:35" ht="15.5" thickTop="1" thickBot="1" x14ac:dyDescent="0.4">
      <c r="A13" s="18" t="s">
        <v>20</v>
      </c>
      <c r="B13" s="25">
        <v>0.625</v>
      </c>
      <c r="C13" s="18" t="s">
        <v>27</v>
      </c>
      <c r="D13" s="24" t="s">
        <v>13</v>
      </c>
      <c r="E13" s="18" t="s">
        <v>10</v>
      </c>
      <c r="F13" s="26" t="s">
        <v>38</v>
      </c>
      <c r="G13" s="26" t="s">
        <v>38</v>
      </c>
      <c r="H13" s="26" t="s">
        <v>38</v>
      </c>
      <c r="I13" s="26" t="s">
        <v>38</v>
      </c>
      <c r="J13" s="26" t="s">
        <v>38</v>
      </c>
      <c r="K13" s="26" t="s">
        <v>38</v>
      </c>
      <c r="L13" s="26" t="s">
        <v>38</v>
      </c>
      <c r="M13" s="26" t="s">
        <v>38</v>
      </c>
      <c r="N13" s="54" t="s">
        <v>38</v>
      </c>
      <c r="O13" s="26" t="s">
        <v>38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 spans="1:35" ht="15.5" thickTop="1" thickBot="1" x14ac:dyDescent="0.4">
      <c r="A14" s="18" t="s">
        <v>20</v>
      </c>
      <c r="B14" s="25">
        <v>0.66666666666666663</v>
      </c>
      <c r="C14" s="18" t="s">
        <v>22</v>
      </c>
      <c r="D14" s="24" t="s">
        <v>5</v>
      </c>
      <c r="E14" s="18" t="s">
        <v>10</v>
      </c>
      <c r="F14" s="51" t="s">
        <v>39</v>
      </c>
      <c r="G14" s="51" t="s">
        <v>39</v>
      </c>
      <c r="H14" s="51" t="s">
        <v>38</v>
      </c>
      <c r="I14" s="51" t="s">
        <v>38</v>
      </c>
      <c r="J14" s="51" t="s">
        <v>38</v>
      </c>
      <c r="K14" s="51" t="s">
        <v>39</v>
      </c>
      <c r="L14" s="51" t="s">
        <v>38</v>
      </c>
      <c r="M14" s="51" t="s">
        <v>38</v>
      </c>
      <c r="N14" s="52" t="s">
        <v>38</v>
      </c>
      <c r="O14" s="51" t="s">
        <v>38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 spans="1:35" ht="15.5" thickTop="1" thickBot="1" x14ac:dyDescent="0.4">
      <c r="A15" s="18" t="s">
        <v>21</v>
      </c>
      <c r="B15" s="25">
        <v>0.375</v>
      </c>
      <c r="C15" s="18" t="s">
        <v>22</v>
      </c>
      <c r="D15" s="24" t="s">
        <v>5</v>
      </c>
      <c r="E15" s="18" t="s">
        <v>10</v>
      </c>
      <c r="F15" s="50" t="s">
        <v>38</v>
      </c>
      <c r="G15" s="50" t="s">
        <v>38</v>
      </c>
      <c r="H15" s="50" t="s">
        <v>38</v>
      </c>
      <c r="I15" s="50" t="s">
        <v>39</v>
      </c>
      <c r="J15" s="50"/>
      <c r="K15" s="50"/>
      <c r="L15" s="50" t="s">
        <v>38</v>
      </c>
      <c r="M15" s="50"/>
      <c r="N15" s="53" t="s">
        <v>38</v>
      </c>
      <c r="O15" s="50" t="s">
        <v>38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spans="1:35" ht="15.5" thickTop="1" thickBot="1" x14ac:dyDescent="0.4">
      <c r="A16" s="18" t="s">
        <v>21</v>
      </c>
      <c r="B16" s="25">
        <v>0.45833333333333331</v>
      </c>
      <c r="C16" s="18" t="s">
        <v>26</v>
      </c>
      <c r="D16" s="24" t="s">
        <v>12</v>
      </c>
      <c r="E16" s="18" t="s">
        <v>6</v>
      </c>
      <c r="F16" s="26"/>
      <c r="G16" s="26" t="s">
        <v>39</v>
      </c>
      <c r="H16" s="26" t="s">
        <v>38</v>
      </c>
      <c r="I16" s="26" t="s">
        <v>39</v>
      </c>
      <c r="J16" s="26" t="s">
        <v>39</v>
      </c>
      <c r="K16" s="26" t="s">
        <v>39</v>
      </c>
      <c r="L16" s="26" t="s">
        <v>38</v>
      </c>
      <c r="M16" s="26" t="s">
        <v>39</v>
      </c>
      <c r="N16" s="54" t="s">
        <v>39</v>
      </c>
      <c r="O16" s="26" t="s">
        <v>39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 spans="1:35" ht="15.5" thickTop="1" thickBot="1" x14ac:dyDescent="0.4">
      <c r="A17" s="18" t="s">
        <v>21</v>
      </c>
      <c r="B17" s="25">
        <v>0.58333333333333337</v>
      </c>
      <c r="C17" s="18" t="s">
        <v>27</v>
      </c>
      <c r="D17" s="24" t="s">
        <v>13</v>
      </c>
      <c r="E17" s="18" t="s">
        <v>16</v>
      </c>
      <c r="F17" s="26"/>
      <c r="G17" s="26"/>
      <c r="H17" s="26" t="s">
        <v>38</v>
      </c>
      <c r="I17" s="26"/>
      <c r="J17" s="26" t="s">
        <v>39</v>
      </c>
      <c r="K17" s="26"/>
      <c r="L17" s="26" t="s">
        <v>38</v>
      </c>
      <c r="M17" s="26"/>
      <c r="N17" s="54" t="s">
        <v>39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 spans="1:35" ht="15.5" thickTop="1" thickBot="1" x14ac:dyDescent="0.4">
      <c r="A18" s="18" t="s">
        <v>21</v>
      </c>
      <c r="B18" s="25">
        <v>0.66666666666666663</v>
      </c>
      <c r="C18" s="18" t="s">
        <v>26</v>
      </c>
      <c r="D18" s="24" t="s">
        <v>12</v>
      </c>
      <c r="E18" s="18" t="s">
        <v>10</v>
      </c>
      <c r="F18" s="55" t="s">
        <v>38</v>
      </c>
      <c r="G18" s="55" t="s">
        <v>38</v>
      </c>
      <c r="H18" s="55" t="s">
        <v>38</v>
      </c>
      <c r="I18" s="55" t="s">
        <v>39</v>
      </c>
      <c r="J18" s="55" t="s">
        <v>38</v>
      </c>
      <c r="K18" s="55" t="s">
        <v>38</v>
      </c>
      <c r="L18" s="55" t="s">
        <v>38</v>
      </c>
      <c r="M18" s="55" t="s">
        <v>38</v>
      </c>
      <c r="N18" s="56" t="s">
        <v>38</v>
      </c>
      <c r="O18" s="55" t="s">
        <v>38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 spans="1:35" ht="15.5" thickTop="1" thickBot="1" x14ac:dyDescent="0.4">
      <c r="A19" s="18" t="s">
        <v>17</v>
      </c>
      <c r="B19" s="25">
        <v>0.58333333333333337</v>
      </c>
      <c r="C19" s="18" t="s">
        <v>23</v>
      </c>
      <c r="D19" s="24" t="s">
        <v>8</v>
      </c>
      <c r="E19" s="18" t="s">
        <v>6</v>
      </c>
      <c r="N19" s="19"/>
      <c r="P19" s="22" t="s">
        <v>39</v>
      </c>
      <c r="Q19" s="22" t="s">
        <v>39</v>
      </c>
      <c r="R19" s="22" t="s">
        <v>39</v>
      </c>
      <c r="S19" s="22" t="s">
        <v>39</v>
      </c>
      <c r="T19" s="22" t="s">
        <v>39</v>
      </c>
      <c r="U19" s="22" t="s">
        <v>38</v>
      </c>
      <c r="V19" s="22" t="s">
        <v>39</v>
      </c>
      <c r="W19" s="22" t="s">
        <v>39</v>
      </c>
      <c r="X19" s="22" t="s">
        <v>39</v>
      </c>
      <c r="Y19" s="22" t="s">
        <v>38</v>
      </c>
    </row>
    <row r="20" spans="1:35" ht="15.5" thickTop="1" thickBot="1" x14ac:dyDescent="0.4">
      <c r="A20" s="18" t="s">
        <v>17</v>
      </c>
      <c r="B20" s="25">
        <v>0.66666666666666663</v>
      </c>
      <c r="C20" s="18" t="s">
        <v>24</v>
      </c>
      <c r="D20" s="24" t="s">
        <v>9</v>
      </c>
      <c r="E20" s="18" t="s">
        <v>10</v>
      </c>
      <c r="P20" s="22" t="s">
        <v>39</v>
      </c>
      <c r="Q20" s="22" t="s">
        <v>39</v>
      </c>
      <c r="R20" s="22" t="s">
        <v>38</v>
      </c>
      <c r="S20" s="22" t="s">
        <v>39</v>
      </c>
      <c r="T20" s="22" t="s">
        <v>38</v>
      </c>
      <c r="U20" s="22" t="s">
        <v>38</v>
      </c>
      <c r="V20" s="22" t="s">
        <v>38</v>
      </c>
      <c r="W20" s="22" t="s">
        <v>38</v>
      </c>
      <c r="X20" s="22" t="s">
        <v>38</v>
      </c>
      <c r="Y20" s="22" t="s">
        <v>116</v>
      </c>
    </row>
    <row r="21" spans="1:35" ht="15.5" thickTop="1" thickBot="1" x14ac:dyDescent="0.4">
      <c r="A21" s="18" t="s">
        <v>17</v>
      </c>
      <c r="B21" s="25">
        <v>0.70833333333333337</v>
      </c>
      <c r="C21" s="18" t="s">
        <v>23</v>
      </c>
      <c r="D21" s="24" t="s">
        <v>8</v>
      </c>
      <c r="E21" s="18" t="s">
        <v>10</v>
      </c>
      <c r="K21" s="20"/>
      <c r="N21" s="19"/>
      <c r="P21" s="49" t="s">
        <v>39</v>
      </c>
      <c r="Q21" s="49" t="s">
        <v>38</v>
      </c>
      <c r="R21" s="49" t="s">
        <v>38</v>
      </c>
      <c r="S21" s="49" t="s">
        <v>38</v>
      </c>
      <c r="T21" s="49" t="s">
        <v>38</v>
      </c>
      <c r="U21" s="49" t="s">
        <v>38</v>
      </c>
      <c r="V21" s="49" t="s">
        <v>38</v>
      </c>
      <c r="W21" s="49" t="s">
        <v>38</v>
      </c>
      <c r="X21" s="49" t="s">
        <v>38</v>
      </c>
      <c r="Y21" s="49" t="s">
        <v>116</v>
      </c>
    </row>
    <row r="22" spans="1:35" ht="15" thickBot="1" x14ac:dyDescent="0.4">
      <c r="A22" s="18" t="s">
        <v>18</v>
      </c>
      <c r="B22" s="25">
        <v>0.45833333333333331</v>
      </c>
      <c r="C22" s="18" t="s">
        <v>25</v>
      </c>
      <c r="D22" s="24" t="s">
        <v>11</v>
      </c>
      <c r="E22" s="18" t="s">
        <v>6</v>
      </c>
      <c r="P22" s="48" t="s">
        <v>39</v>
      </c>
      <c r="Q22" s="48" t="s">
        <v>39</v>
      </c>
      <c r="R22" s="48" t="s">
        <v>39</v>
      </c>
      <c r="S22" s="48" t="s">
        <v>39</v>
      </c>
      <c r="T22" s="48" t="s">
        <v>39</v>
      </c>
      <c r="U22" s="48" t="s">
        <v>38</v>
      </c>
      <c r="V22" s="48" t="s">
        <v>39</v>
      </c>
      <c r="W22" s="48" t="s">
        <v>39</v>
      </c>
      <c r="X22" s="48" t="s">
        <v>39</v>
      </c>
      <c r="Y22" s="48" t="s">
        <v>39</v>
      </c>
    </row>
    <row r="23" spans="1:35" ht="15.5" thickTop="1" thickBot="1" x14ac:dyDescent="0.4">
      <c r="A23" s="18" t="s">
        <v>18</v>
      </c>
      <c r="B23" s="25">
        <v>0.54166666666666663</v>
      </c>
      <c r="C23" s="18" t="s">
        <v>26</v>
      </c>
      <c r="D23" s="24" t="s">
        <v>12</v>
      </c>
      <c r="E23" s="18" t="s">
        <v>10</v>
      </c>
      <c r="P23" s="22" t="s">
        <v>39</v>
      </c>
      <c r="Q23" s="22" t="s">
        <v>39</v>
      </c>
      <c r="R23" s="22" t="s">
        <v>38</v>
      </c>
      <c r="S23" s="22" t="s">
        <v>39</v>
      </c>
      <c r="T23" s="22" t="s">
        <v>38</v>
      </c>
      <c r="U23" s="22" t="s">
        <v>116</v>
      </c>
      <c r="V23" s="22" t="s">
        <v>116</v>
      </c>
      <c r="W23" s="22" t="s">
        <v>116</v>
      </c>
      <c r="X23" s="22" t="s">
        <v>116</v>
      </c>
      <c r="Y23" s="22" t="s">
        <v>116</v>
      </c>
    </row>
    <row r="24" spans="1:35" ht="15.5" thickTop="1" thickBot="1" x14ac:dyDescent="0.4">
      <c r="A24" s="18" t="s">
        <v>18</v>
      </c>
      <c r="B24" s="25">
        <v>0.625</v>
      </c>
      <c r="C24" s="18" t="s">
        <v>27</v>
      </c>
      <c r="D24" s="24" t="s">
        <v>13</v>
      </c>
      <c r="E24" s="18" t="s">
        <v>10</v>
      </c>
      <c r="P24" s="49" t="s">
        <v>39</v>
      </c>
      <c r="Q24" s="49" t="s">
        <v>38</v>
      </c>
      <c r="R24" s="49" t="s">
        <v>38</v>
      </c>
      <c r="S24" s="51"/>
      <c r="T24" s="51"/>
      <c r="U24" s="51"/>
      <c r="V24" s="51"/>
      <c r="W24" s="51"/>
      <c r="X24" s="51"/>
      <c r="Y24" s="51"/>
    </row>
    <row r="25" spans="1:35" ht="15" thickBot="1" x14ac:dyDescent="0.4">
      <c r="A25" s="18" t="s">
        <v>19</v>
      </c>
      <c r="B25" s="25">
        <v>0.375</v>
      </c>
      <c r="C25" s="18" t="s">
        <v>24</v>
      </c>
      <c r="D25" s="24" t="s">
        <v>9</v>
      </c>
      <c r="E25" s="18" t="s">
        <v>10</v>
      </c>
      <c r="P25" s="48" t="s">
        <v>38</v>
      </c>
      <c r="Q25" s="48" t="s">
        <v>38</v>
      </c>
      <c r="R25" s="48" t="s">
        <v>38</v>
      </c>
      <c r="S25" s="48" t="s">
        <v>38</v>
      </c>
      <c r="T25" s="48" t="s">
        <v>38</v>
      </c>
      <c r="U25" s="48" t="s">
        <v>38</v>
      </c>
      <c r="V25" s="48" t="s">
        <v>38</v>
      </c>
      <c r="W25" s="48" t="s">
        <v>38</v>
      </c>
      <c r="X25" s="48" t="s">
        <v>38</v>
      </c>
      <c r="Y25" s="48" t="s">
        <v>116</v>
      </c>
    </row>
    <row r="26" spans="1:35" ht="15.5" thickTop="1" thickBot="1" x14ac:dyDescent="0.4">
      <c r="A26" s="18" t="s">
        <v>19</v>
      </c>
      <c r="B26" s="25">
        <v>0.45833333333333331</v>
      </c>
      <c r="C26" s="18" t="s">
        <v>25</v>
      </c>
      <c r="D26" s="24" t="s">
        <v>11</v>
      </c>
      <c r="E26" s="18" t="s">
        <v>10</v>
      </c>
      <c r="P26" s="58" t="s">
        <v>38</v>
      </c>
      <c r="Q26" s="58" t="s">
        <v>38</v>
      </c>
      <c r="R26" s="58" t="s">
        <v>38</v>
      </c>
      <c r="S26" s="58" t="s">
        <v>38</v>
      </c>
      <c r="T26" s="58" t="s">
        <v>38</v>
      </c>
      <c r="U26" s="58" t="s">
        <v>38</v>
      </c>
      <c r="V26" s="58" t="s">
        <v>38</v>
      </c>
      <c r="W26" s="58" t="s">
        <v>38</v>
      </c>
      <c r="X26" s="58" t="s">
        <v>38</v>
      </c>
      <c r="Y26" s="69"/>
    </row>
    <row r="27" spans="1:35" ht="15.5" thickTop="1" thickBot="1" x14ac:dyDescent="0.4">
      <c r="A27" s="18" t="s">
        <v>19</v>
      </c>
      <c r="B27" s="19"/>
      <c r="C27" s="18" t="s">
        <v>117</v>
      </c>
      <c r="D27" s="18" t="s">
        <v>151</v>
      </c>
      <c r="P27" s="51"/>
      <c r="Q27" s="49" t="s">
        <v>39</v>
      </c>
      <c r="R27" s="51"/>
      <c r="S27" s="51"/>
      <c r="T27" s="51"/>
      <c r="U27" s="51"/>
      <c r="V27" s="51"/>
      <c r="W27" s="51"/>
      <c r="X27" s="49" t="s">
        <v>39</v>
      </c>
      <c r="Y27" s="51"/>
    </row>
    <row r="28" spans="1:35" ht="15" thickBot="1" x14ac:dyDescent="0.4">
      <c r="A28" s="18" t="s">
        <v>20</v>
      </c>
      <c r="B28" s="25">
        <v>0.45833333333333331</v>
      </c>
      <c r="C28" s="18" t="s">
        <v>24</v>
      </c>
      <c r="D28" s="24" t="s">
        <v>9</v>
      </c>
      <c r="E28" s="18" t="s">
        <v>6</v>
      </c>
      <c r="P28" s="48" t="s">
        <v>39</v>
      </c>
      <c r="Q28" s="48" t="s">
        <v>38</v>
      </c>
      <c r="R28" s="48" t="s">
        <v>39</v>
      </c>
      <c r="S28" s="48" t="s">
        <v>39</v>
      </c>
      <c r="T28" s="48" t="s">
        <v>38</v>
      </c>
      <c r="U28" s="48" t="s">
        <v>38</v>
      </c>
      <c r="V28" s="48" t="s">
        <v>39</v>
      </c>
      <c r="W28" s="48" t="s">
        <v>39</v>
      </c>
      <c r="X28" s="48" t="s">
        <v>39</v>
      </c>
      <c r="Y28" s="48" t="s">
        <v>39</v>
      </c>
    </row>
    <row r="29" spans="1:35" ht="15.5" thickTop="1" thickBot="1" x14ac:dyDescent="0.4">
      <c r="A29" s="18" t="s">
        <v>20</v>
      </c>
      <c r="B29" s="25">
        <v>0.58333333333333337</v>
      </c>
      <c r="C29" s="18" t="s">
        <v>23</v>
      </c>
      <c r="D29" s="24" t="s">
        <v>8</v>
      </c>
      <c r="E29" s="18" t="s">
        <v>10</v>
      </c>
      <c r="P29" s="22" t="s">
        <v>39</v>
      </c>
      <c r="Q29" s="22" t="s">
        <v>38</v>
      </c>
      <c r="R29" s="22" t="s">
        <v>38</v>
      </c>
      <c r="S29" s="22" t="s">
        <v>39</v>
      </c>
      <c r="T29" s="22" t="s">
        <v>38</v>
      </c>
      <c r="U29" s="22" t="s">
        <v>38</v>
      </c>
      <c r="V29" s="22" t="s">
        <v>38</v>
      </c>
      <c r="W29" s="22" t="s">
        <v>38</v>
      </c>
      <c r="X29" s="22" t="s">
        <v>116</v>
      </c>
      <c r="Y29" s="22" t="s">
        <v>116</v>
      </c>
    </row>
    <row r="30" spans="1:35" ht="15.5" thickTop="1" thickBot="1" x14ac:dyDescent="0.4">
      <c r="A30" s="18" t="s">
        <v>20</v>
      </c>
      <c r="B30" s="25">
        <v>0.625</v>
      </c>
      <c r="C30" s="18" t="s">
        <v>27</v>
      </c>
      <c r="D30" s="24" t="s">
        <v>13</v>
      </c>
      <c r="E30" s="18" t="s">
        <v>10</v>
      </c>
      <c r="P30" s="22" t="s">
        <v>39</v>
      </c>
      <c r="Q30" s="22" t="s">
        <v>38</v>
      </c>
      <c r="R30" s="22" t="s">
        <v>38</v>
      </c>
      <c r="S30" s="26"/>
      <c r="T30" s="26"/>
      <c r="U30" s="26"/>
      <c r="V30" s="26"/>
      <c r="W30" s="26"/>
      <c r="X30" s="26"/>
      <c r="Y30" s="26"/>
    </row>
    <row r="31" spans="1:35" ht="15.5" thickTop="1" thickBot="1" x14ac:dyDescent="0.4">
      <c r="A31" s="18" t="s">
        <v>20</v>
      </c>
      <c r="B31" s="25">
        <v>0.66666666666666663</v>
      </c>
      <c r="C31" s="18" t="s">
        <v>25</v>
      </c>
      <c r="D31" s="24" t="s">
        <v>11</v>
      </c>
      <c r="E31" s="18" t="s">
        <v>10</v>
      </c>
      <c r="P31" s="51"/>
      <c r="Q31" s="49" t="s">
        <v>38</v>
      </c>
      <c r="R31" s="49" t="s">
        <v>38</v>
      </c>
      <c r="S31" s="49" t="s">
        <v>38</v>
      </c>
      <c r="T31" s="49" t="s">
        <v>38</v>
      </c>
      <c r="U31" s="49" t="s">
        <v>38</v>
      </c>
      <c r="V31" s="49" t="s">
        <v>38</v>
      </c>
      <c r="W31" s="49" t="s">
        <v>38</v>
      </c>
      <c r="X31" s="49" t="s">
        <v>38</v>
      </c>
      <c r="Y31" s="51"/>
    </row>
    <row r="32" spans="1:35" ht="15" thickBot="1" x14ac:dyDescent="0.4">
      <c r="A32" s="18" t="s">
        <v>21</v>
      </c>
      <c r="B32" s="25">
        <v>0.375</v>
      </c>
      <c r="C32" s="18" t="s">
        <v>22</v>
      </c>
      <c r="D32" s="24" t="s">
        <v>5</v>
      </c>
      <c r="E32" s="18" t="s">
        <v>70</v>
      </c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spans="1:35" ht="15.5" thickTop="1" thickBot="1" x14ac:dyDescent="0.4">
      <c r="A33" s="18" t="s">
        <v>21</v>
      </c>
      <c r="B33" s="25">
        <v>0.45833333333333331</v>
      </c>
      <c r="C33" s="18" t="s">
        <v>26</v>
      </c>
      <c r="D33" s="24" t="s">
        <v>12</v>
      </c>
      <c r="E33" s="18" t="s">
        <v>6</v>
      </c>
      <c r="P33" s="26"/>
      <c r="Q33" s="22" t="s">
        <v>38</v>
      </c>
      <c r="R33" s="22" t="s">
        <v>38</v>
      </c>
      <c r="S33" s="22" t="s">
        <v>39</v>
      </c>
      <c r="T33" s="22" t="s">
        <v>38</v>
      </c>
      <c r="U33" s="22" t="s">
        <v>39</v>
      </c>
      <c r="V33" s="22" t="s">
        <v>39</v>
      </c>
      <c r="W33" s="22" t="s">
        <v>38</v>
      </c>
      <c r="X33" s="22" t="s">
        <v>38</v>
      </c>
      <c r="Y33" s="22" t="s">
        <v>38</v>
      </c>
    </row>
    <row r="34" spans="1:35" ht="15.5" thickTop="1" thickBot="1" x14ac:dyDescent="0.4">
      <c r="A34" s="18" t="s">
        <v>21</v>
      </c>
      <c r="B34" s="25">
        <v>0.58333333333333337</v>
      </c>
      <c r="C34" s="18" t="s">
        <v>27</v>
      </c>
      <c r="D34" s="24" t="s">
        <v>13</v>
      </c>
      <c r="E34" s="18" t="s">
        <v>16</v>
      </c>
      <c r="P34" s="26"/>
      <c r="Q34" s="22" t="s">
        <v>38</v>
      </c>
      <c r="R34" s="22" t="s">
        <v>38</v>
      </c>
      <c r="S34" s="26"/>
      <c r="T34" s="26"/>
      <c r="U34" s="26"/>
      <c r="V34" s="26"/>
      <c r="W34" s="26"/>
      <c r="X34" s="26"/>
      <c r="Y34" s="26"/>
    </row>
    <row r="35" spans="1:35" ht="15.5" thickTop="1" thickBot="1" x14ac:dyDescent="0.4">
      <c r="A35" s="18" t="s">
        <v>21</v>
      </c>
      <c r="B35" s="25">
        <v>0.58333333333333337</v>
      </c>
      <c r="C35" s="18" t="s">
        <v>27</v>
      </c>
      <c r="D35" s="24" t="s">
        <v>13</v>
      </c>
      <c r="E35" s="18" t="s">
        <v>123</v>
      </c>
      <c r="P35" s="62"/>
      <c r="Q35" s="62"/>
      <c r="R35" s="62"/>
      <c r="S35" s="63" t="s">
        <v>39</v>
      </c>
      <c r="T35" s="63" t="s">
        <v>39</v>
      </c>
      <c r="U35" s="63" t="s">
        <v>39</v>
      </c>
      <c r="V35" s="63" t="s">
        <v>39</v>
      </c>
      <c r="W35" s="63" t="s">
        <v>39</v>
      </c>
      <c r="X35" s="62" t="s">
        <v>39</v>
      </c>
      <c r="Y35" s="62"/>
    </row>
    <row r="36" spans="1:35" ht="15.5" thickTop="1" thickBot="1" x14ac:dyDescent="0.4">
      <c r="A36" s="18" t="s">
        <v>21</v>
      </c>
      <c r="B36" s="25">
        <v>0.66666666666666663</v>
      </c>
      <c r="C36" s="18" t="s">
        <v>26</v>
      </c>
      <c r="D36" s="24" t="s">
        <v>12</v>
      </c>
      <c r="E36" s="18" t="s">
        <v>10</v>
      </c>
      <c r="P36" s="57" t="s">
        <v>38</v>
      </c>
      <c r="Q36" s="57" t="s">
        <v>38</v>
      </c>
      <c r="R36" s="57" t="s">
        <v>38</v>
      </c>
      <c r="S36" s="57" t="s">
        <v>39</v>
      </c>
      <c r="T36" s="57" t="s">
        <v>38</v>
      </c>
      <c r="U36" s="57" t="s">
        <v>116</v>
      </c>
      <c r="V36" s="57" t="s">
        <v>116</v>
      </c>
      <c r="W36" s="57" t="s">
        <v>116</v>
      </c>
      <c r="X36" s="57" t="s">
        <v>116</v>
      </c>
      <c r="Y36" s="57" t="s">
        <v>116</v>
      </c>
    </row>
    <row r="37" spans="1:35" ht="15.5" thickTop="1" thickBot="1" x14ac:dyDescent="0.4"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ht="15.5" thickTop="1" thickBot="1" x14ac:dyDescent="0.4"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ht="15.5" thickTop="1" thickBot="1" x14ac:dyDescent="0.4"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ht="15.5" thickTop="1" thickBot="1" x14ac:dyDescent="0.4"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ht="15.5" thickTop="1" thickBot="1" x14ac:dyDescent="0.4"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ht="15.5" thickTop="1" thickBot="1" x14ac:dyDescent="0.4"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ht="15.5" thickTop="1" thickBot="1" x14ac:dyDescent="0.4"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ht="15.5" thickTop="1" thickBot="1" x14ac:dyDescent="0.4"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ht="15.5" thickTop="1" thickBot="1" x14ac:dyDescent="0.4"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ht="15.5" thickTop="1" thickBot="1" x14ac:dyDescent="0.4"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ht="15.5" thickTop="1" thickBot="1" x14ac:dyDescent="0.4"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ht="15.5" thickTop="1" thickBot="1" x14ac:dyDescent="0.4"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26:35" ht="15.5" thickTop="1" thickBot="1" x14ac:dyDescent="0.4"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26:35" ht="15.5" thickTop="1" thickBot="1" x14ac:dyDescent="0.4"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26:35" ht="15.5" thickTop="1" thickBot="1" x14ac:dyDescent="0.4"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26:35" ht="15.5" thickTop="1" thickBot="1" x14ac:dyDescent="0.4"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26:35" ht="15.5" thickTop="1" thickBot="1" x14ac:dyDescent="0.4"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26:35" ht="15" thickTop="1" x14ac:dyDescent="0.35"/>
  </sheetData>
  <phoneticPr fontId="5" type="noConversion"/>
  <conditionalFormatting sqref="E2:E26 E28:E1048576">
    <cfRule type="cellIs" dxfId="22" priority="2" operator="equal">
      <formula>"Drop-In"</formula>
    </cfRule>
    <cfRule type="cellIs" dxfId="21" priority="3" operator="equal">
      <formula>"Tutorial"</formula>
    </cfRule>
    <cfRule type="cellIs" dxfId="20" priority="4" operator="equal">
      <formula>"Practical"</formula>
    </cfRule>
    <cfRule type="cellIs" dxfId="19" priority="5" operator="equal">
      <formula>"Lecture"</formula>
    </cfRule>
  </conditionalFormatting>
  <conditionalFormatting sqref="E2:E1048576">
    <cfRule type="cellIs" dxfId="18" priority="1" operator="equal">
      <formula>"Seminar"</formula>
    </cfRule>
  </conditionalFormatting>
  <conditionalFormatting sqref="F2:AI36 Z37:AI53 F37:Y54 F55:AI1048576">
    <cfRule type="cellIs" dxfId="17" priority="6" operator="equal">
      <formula>"Missed"</formula>
    </cfRule>
    <cfRule type="cellIs" dxfId="16" priority="7" operator="equal">
      <formula>"Work Done"</formula>
    </cfRule>
    <cfRule type="cellIs" dxfId="15" priority="8" operator="equal">
      <formula>"Attended"</formula>
    </cfRule>
  </conditionalFormatting>
  <conditionalFormatting sqref="L5:L19 L21">
    <cfRule type="cellIs" dxfId="14" priority="9" operator="equal">
      <formula>"Tutorial"</formula>
    </cfRule>
    <cfRule type="cellIs" dxfId="13" priority="10" operator="equal">
      <formula>"Lecture"</formula>
    </cfRule>
    <cfRule type="cellIs" dxfId="12" priority="11" operator="equal">
      <formula>"Practical"</formula>
    </cfRule>
  </conditionalFormatting>
  <dataValidations count="2">
    <dataValidation type="list" allowBlank="1" showInputMessage="1" showErrorMessage="1" sqref="F2:AI36 F55:AI1048576 F37:Y54 Z37:AI53" xr:uid="{6BC9F526-0A0B-4897-9853-3915DFEB35EA}">
      <formula1>"Attended, Work Done, Missed"</formula1>
    </dataValidation>
    <dataValidation type="list" allowBlank="1" showInputMessage="1" showErrorMessage="1" sqref="E2:E1048576" xr:uid="{B0FBFB33-7FB3-4C85-A853-D5D1318745B0}">
      <formula1>"Lecture, Practical, Tutorial, Drop-In, Seminar"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B45D-D85C-4C4A-8DB5-A84C9637DFBF}">
  <dimension ref="A1:Z52"/>
  <sheetViews>
    <sheetView zoomScaleNormal="100" workbookViewId="0">
      <pane ySplit="1" topLeftCell="A2" activePane="bottomLeft" state="frozen"/>
      <selection pane="bottomLeft" activeCell="I2" sqref="I2"/>
    </sheetView>
  </sheetViews>
  <sheetFormatPr defaultColWidth="8.7265625" defaultRowHeight="14.5" x14ac:dyDescent="0.35"/>
  <cols>
    <col min="1" max="1" width="11.54296875" style="43" bestFit="1" customWidth="1"/>
    <col min="2" max="2" width="11.7265625" style="18" bestFit="1" customWidth="1"/>
    <col min="3" max="3" width="10.453125" style="18" bestFit="1" customWidth="1"/>
    <col min="4" max="4" width="11.7265625" style="18" bestFit="1" customWidth="1"/>
    <col min="5" max="5" width="29.7265625" style="18" bestFit="1" customWidth="1"/>
    <col min="6" max="6" width="23.6328125" style="18" bestFit="1" customWidth="1"/>
    <col min="7" max="7" width="14.90625" style="18" bestFit="1" customWidth="1"/>
    <col min="8" max="8" width="6.1796875" style="18" bestFit="1" customWidth="1"/>
    <col min="9" max="9" width="5.6328125" style="18" bestFit="1" customWidth="1"/>
    <col min="10" max="13" width="8.7265625" style="18"/>
    <col min="14" max="14" width="31.08984375" style="18" bestFit="1" customWidth="1"/>
    <col min="15" max="15" width="8.7265625" style="18"/>
    <col min="16" max="17" width="10.7265625" style="18" bestFit="1" customWidth="1"/>
    <col min="18" max="18" width="8.90625" style="18" bestFit="1" customWidth="1"/>
    <col min="19" max="16384" width="8.7265625" style="18"/>
  </cols>
  <sheetData>
    <row r="1" spans="1:26" x14ac:dyDescent="0.35">
      <c r="A1" s="39" t="s">
        <v>63</v>
      </c>
      <c r="B1" s="20" t="s">
        <v>64</v>
      </c>
      <c r="C1" s="39" t="s">
        <v>65</v>
      </c>
      <c r="D1" s="20" t="s">
        <v>3</v>
      </c>
      <c r="E1" s="39" t="s">
        <v>4</v>
      </c>
      <c r="F1" s="20" t="s">
        <v>66</v>
      </c>
      <c r="G1" s="39" t="s">
        <v>67</v>
      </c>
      <c r="H1" s="20" t="s">
        <v>68</v>
      </c>
      <c r="I1" s="39" t="s">
        <v>69</v>
      </c>
      <c r="J1" s="39" t="s">
        <v>106</v>
      </c>
    </row>
    <row r="2" spans="1:26" x14ac:dyDescent="0.35">
      <c r="A2" s="42" t="str" cm="1">
        <f t="array" aca="1" ref="A2" ca="1">_xlfn.IFS(H2, "Done", B2 &gt; NOW(), "Not Released", C2 &lt; NOW(), "Overdue", TRUE, ROUND(C2 - NOW(), 1) &amp; " Days")</f>
        <v>Done</v>
      </c>
      <c r="B2" s="27">
        <v>45996</v>
      </c>
      <c r="C2" s="40">
        <v>46101</v>
      </c>
      <c r="D2" s="18" t="s">
        <v>27</v>
      </c>
      <c r="E2" s="24" t="s">
        <v>13</v>
      </c>
      <c r="F2" s="18" t="s">
        <v>89</v>
      </c>
      <c r="G2" s="24" t="s">
        <v>71</v>
      </c>
      <c r="H2" s="28" t="b">
        <v>1</v>
      </c>
      <c r="I2" s="41"/>
      <c r="J2" s="41" t="str" cm="1">
        <f t="array" ref="J2">_xlfn.IFS(H2 = FALSE, "", G2 = "Homework", "", I2 &gt; 0, I2, TRUE, "")</f>
        <v/>
      </c>
      <c r="N2" s="34"/>
      <c r="O2" s="3"/>
      <c r="P2" s="35"/>
      <c r="Q2" s="35"/>
      <c r="R2" s="36"/>
      <c r="S2" s="35"/>
      <c r="T2" s="3"/>
      <c r="U2" s="3"/>
      <c r="V2" s="3"/>
      <c r="W2" s="3"/>
      <c r="X2" s="3"/>
      <c r="Y2" s="37"/>
      <c r="Z2" s="37"/>
    </row>
    <row r="3" spans="1:26" x14ac:dyDescent="0.35">
      <c r="A3" s="42" t="str" cm="1">
        <f t="array" aca="1" ref="A3" ca="1">_xlfn.IFS(H3, "Done", B3 &gt; NOW(), "Not Released", C3 &lt; NOW(), "Overdue", TRUE, ROUND(C3 - NOW(), 1) &amp; " Days")</f>
        <v>Done</v>
      </c>
      <c r="B3" s="27">
        <v>46092</v>
      </c>
      <c r="C3" s="40">
        <v>46094</v>
      </c>
      <c r="D3" s="18" t="s">
        <v>24</v>
      </c>
      <c r="E3" s="24" t="s">
        <v>9</v>
      </c>
      <c r="F3" s="18" t="s">
        <v>152</v>
      </c>
      <c r="G3" s="24" t="s">
        <v>75</v>
      </c>
      <c r="H3" s="28" t="b">
        <v>1</v>
      </c>
      <c r="I3" s="41">
        <v>1</v>
      </c>
      <c r="J3" s="41" cm="1">
        <f t="array" ref="J3">_xlfn.IFS(H3 = FALSE, "", G3 = "Homework", "", I3 &gt; 0, I3, TRUE, "")</f>
        <v>1</v>
      </c>
      <c r="N3" s="34"/>
      <c r="O3" s="3"/>
      <c r="P3" s="35"/>
      <c r="Q3" s="35"/>
      <c r="R3" s="36"/>
      <c r="S3" s="35"/>
      <c r="T3" s="3"/>
      <c r="U3" s="3"/>
      <c r="V3" s="3"/>
      <c r="W3" s="3"/>
      <c r="X3" s="3"/>
      <c r="Y3" s="37"/>
      <c r="Z3" s="37"/>
    </row>
    <row r="4" spans="1:26" x14ac:dyDescent="0.35">
      <c r="A4" s="42" t="str" cm="1">
        <f t="array" aca="1" ref="A4" ca="1">_xlfn.IFS(H4, "Done", B4 &gt; NOW(), "Not Released", C4 &lt; NOW(), "Overdue", TRUE, ROUND(C4 - NOW(), 1) &amp; " Days")</f>
        <v>Done</v>
      </c>
      <c r="B4" s="27">
        <v>46085</v>
      </c>
      <c r="C4" s="40">
        <v>46087</v>
      </c>
      <c r="D4" s="18" t="s">
        <v>24</v>
      </c>
      <c r="E4" s="24" t="s">
        <v>9</v>
      </c>
      <c r="F4" s="18" t="s">
        <v>150</v>
      </c>
      <c r="G4" s="24" t="s">
        <v>75</v>
      </c>
      <c r="H4" s="28" t="b">
        <v>1</v>
      </c>
      <c r="I4" s="41">
        <v>1</v>
      </c>
      <c r="J4" s="41" cm="1">
        <f t="array" ref="J4">_xlfn.IFS(H4 = FALSE, "", G4 = "Homework", "", I4 &gt; 0, I4, TRUE, "")</f>
        <v>1</v>
      </c>
      <c r="N4" s="34"/>
      <c r="O4" s="3"/>
      <c r="P4" s="35"/>
      <c r="Q4" s="35"/>
      <c r="R4" s="36"/>
      <c r="S4" s="35"/>
      <c r="T4" s="3"/>
      <c r="U4" s="3"/>
      <c r="V4" s="3"/>
      <c r="W4" s="3"/>
      <c r="X4" s="3"/>
      <c r="Y4" s="37"/>
      <c r="Z4" s="37"/>
    </row>
    <row r="5" spans="1:26" x14ac:dyDescent="0.35">
      <c r="A5" s="42" t="str" cm="1">
        <f t="array" aca="1" ref="A5" ca="1">_xlfn.IFS(H5, "Done", B5 &gt; NOW(), "Not Released", C5 &lt; NOW(), "Overdue", TRUE, ROUND(C5 - NOW(), 1) &amp; " Days")</f>
        <v>Done</v>
      </c>
      <c r="B5" s="27">
        <v>46078</v>
      </c>
      <c r="C5" s="40">
        <v>46080</v>
      </c>
      <c r="D5" s="18" t="s">
        <v>24</v>
      </c>
      <c r="E5" s="24" t="s">
        <v>9</v>
      </c>
      <c r="F5" s="18" t="s">
        <v>133</v>
      </c>
      <c r="G5" s="24" t="s">
        <v>75</v>
      </c>
      <c r="H5" s="28" t="b">
        <v>1</v>
      </c>
      <c r="I5" s="41">
        <f>2/6</f>
        <v>0.33333333333333331</v>
      </c>
      <c r="J5" s="41" cm="1">
        <f t="array" ref="J5">_xlfn.IFS(H5 = FALSE, "", G5 = "Homework", "", I5 &gt; 0, I5, TRUE, "")</f>
        <v>0.33333333333333331</v>
      </c>
      <c r="N5" s="34"/>
      <c r="O5" s="3"/>
      <c r="P5" s="35"/>
      <c r="Q5" s="35"/>
      <c r="R5" s="36"/>
      <c r="S5" s="35"/>
      <c r="T5" s="3"/>
      <c r="U5" s="3"/>
      <c r="V5" s="3"/>
      <c r="W5" s="3"/>
      <c r="X5" s="3"/>
      <c r="Y5" s="37"/>
      <c r="Z5" s="37"/>
    </row>
    <row r="6" spans="1:26" x14ac:dyDescent="0.35">
      <c r="A6" s="42" t="str" cm="1">
        <f t="array" aca="1" ref="A6" ca="1">_xlfn.IFS(H6, "Done", B6 &gt; NOW(), "Not Released", C6 &lt; NOW(), "Overdue", TRUE, ROUND(C6 - NOW(), 1) &amp; " Days")</f>
        <v>Done</v>
      </c>
      <c r="B6" s="27">
        <v>46069</v>
      </c>
      <c r="C6" s="40">
        <v>46080</v>
      </c>
      <c r="D6" s="18" t="s">
        <v>27</v>
      </c>
      <c r="E6" s="24" t="s">
        <v>13</v>
      </c>
      <c r="F6" s="18" t="s">
        <v>129</v>
      </c>
      <c r="G6" s="24" t="s">
        <v>71</v>
      </c>
      <c r="H6" s="28" t="b">
        <v>1</v>
      </c>
      <c r="I6" s="41">
        <v>1</v>
      </c>
      <c r="J6" s="41" t="str" cm="1">
        <f t="array" ref="J6">_xlfn.IFS(H6 = FALSE, "", G6 = "Homework", "", I6 &gt; 0, I6, TRUE, "")</f>
        <v/>
      </c>
      <c r="N6" s="34"/>
      <c r="O6" s="3"/>
      <c r="P6" s="35"/>
      <c r="Q6" s="35"/>
      <c r="R6" s="36"/>
      <c r="S6" s="35"/>
      <c r="T6" s="3"/>
      <c r="U6" s="3"/>
      <c r="V6" s="3"/>
      <c r="W6" s="3"/>
      <c r="X6" s="3"/>
      <c r="Y6" s="37"/>
      <c r="Z6" s="37"/>
    </row>
    <row r="7" spans="1:26" x14ac:dyDescent="0.35">
      <c r="A7" s="42" t="str" cm="1">
        <f t="array" aca="1" ref="A7" ca="1">_xlfn.IFS(H7, "Done", B7 &gt; NOW(), "Not Released", C7 &lt; NOW(), "Overdue", TRUE, ROUND(C7 - NOW(), 1) &amp; " Days")</f>
        <v>Done</v>
      </c>
      <c r="B7" s="27">
        <v>46071</v>
      </c>
      <c r="C7" s="40">
        <v>46073</v>
      </c>
      <c r="D7" s="18" t="s">
        <v>24</v>
      </c>
      <c r="E7" s="24" t="s">
        <v>9</v>
      </c>
      <c r="F7" s="18" t="s">
        <v>132</v>
      </c>
      <c r="G7" s="24" t="s">
        <v>75</v>
      </c>
      <c r="H7" s="28" t="b">
        <v>1</v>
      </c>
      <c r="I7" s="41">
        <f>7.66/8</f>
        <v>0.95750000000000002</v>
      </c>
      <c r="J7" s="41" cm="1">
        <f t="array" ref="J7">_xlfn.IFS(H7 = FALSE, "", G7 = "Homework", "", I7 &gt; 0, I7, TRUE, "")</f>
        <v>0.95750000000000002</v>
      </c>
      <c r="N7" s="34"/>
      <c r="O7" s="3"/>
      <c r="P7" s="35"/>
      <c r="Q7" s="35"/>
      <c r="R7" s="36"/>
      <c r="S7" s="35"/>
      <c r="T7" s="3"/>
      <c r="U7" s="3"/>
      <c r="V7" s="3"/>
      <c r="W7" s="3"/>
      <c r="X7" s="3"/>
      <c r="Y7" s="37"/>
      <c r="Z7" s="37"/>
    </row>
    <row r="8" spans="1:26" x14ac:dyDescent="0.35">
      <c r="A8" s="42" t="str" cm="1">
        <f t="array" aca="1" ref="A8" ca="1">_xlfn.IFS(H8, "Done", B8 &gt; NOW(), "Not Released", C8 &lt; NOW(), "Overdue", TRUE, ROUND(C8 - NOW(), 1) &amp; " Days")</f>
        <v>Done</v>
      </c>
      <c r="B8" s="27">
        <v>46064</v>
      </c>
      <c r="C8" s="40">
        <v>46066</v>
      </c>
      <c r="D8" s="18" t="s">
        <v>24</v>
      </c>
      <c r="E8" s="24" t="s">
        <v>9</v>
      </c>
      <c r="F8" s="18" t="s">
        <v>128</v>
      </c>
      <c r="G8" s="24" t="s">
        <v>75</v>
      </c>
      <c r="H8" s="28" t="b">
        <v>1</v>
      </c>
      <c r="I8" s="41">
        <f>4/6</f>
        <v>0.66666666666666663</v>
      </c>
      <c r="J8" s="41" cm="1">
        <f t="array" ref="J8">_xlfn.IFS(H8 = FALSE, "", G8 = "Homework", "", I8 &gt; 0, I8, TRUE, "")</f>
        <v>0.66666666666666663</v>
      </c>
      <c r="N8" s="34"/>
      <c r="O8" s="3"/>
      <c r="P8" s="35"/>
      <c r="Q8" s="35"/>
      <c r="R8" s="36"/>
      <c r="S8" s="35"/>
      <c r="T8" s="3"/>
      <c r="U8" s="3"/>
      <c r="V8" s="3"/>
      <c r="W8" s="3"/>
      <c r="X8" s="3"/>
      <c r="Y8" s="37"/>
      <c r="Z8" s="37"/>
    </row>
    <row r="9" spans="1:26" x14ac:dyDescent="0.35">
      <c r="A9" s="42" t="str" cm="1">
        <f t="array" aca="1" ref="A9" ca="1">_xlfn.IFS(H9, "Done", B9 &gt; NOW(), "Not Released", C9 &lt; NOW(), "Overdue", TRUE, ROUND(C9 - NOW(), 1) &amp; " Days")</f>
        <v>Done</v>
      </c>
      <c r="B9" s="27">
        <v>46057</v>
      </c>
      <c r="C9" s="40">
        <v>46059</v>
      </c>
      <c r="D9" s="18" t="s">
        <v>24</v>
      </c>
      <c r="E9" s="24" t="s">
        <v>9</v>
      </c>
      <c r="F9" s="18" t="s">
        <v>124</v>
      </c>
      <c r="G9" s="24" t="s">
        <v>75</v>
      </c>
      <c r="H9" s="28" t="b">
        <v>1</v>
      </c>
      <c r="I9" s="41">
        <f>7/8</f>
        <v>0.875</v>
      </c>
      <c r="J9" s="41" cm="1">
        <f t="array" ref="J9">_xlfn.IFS(H9 = FALSE, "", G9 = "Homework", "", I9 &gt; 0, I9, TRUE, "")</f>
        <v>0.875</v>
      </c>
      <c r="N9" s="34"/>
      <c r="O9" s="3"/>
      <c r="P9" s="35"/>
      <c r="Q9" s="35"/>
      <c r="R9" s="36"/>
      <c r="S9" s="35"/>
      <c r="T9" s="3"/>
      <c r="U9" s="3"/>
      <c r="V9" s="3"/>
      <c r="W9" s="3"/>
      <c r="X9" s="3"/>
      <c r="Y9" s="37"/>
      <c r="Z9" s="37"/>
    </row>
    <row r="10" spans="1:26" x14ac:dyDescent="0.35">
      <c r="A10" s="42" t="str" cm="1">
        <f t="array" aca="1" ref="A10" ca="1">_xlfn.IFS(H10, "Done", B10 &gt; NOW(), "Not Released", C10 &lt; NOW(), "Overdue", TRUE, ROUND(C10 - NOW(), 1) &amp; " Days")</f>
        <v>Done</v>
      </c>
      <c r="B10" s="27">
        <v>46050</v>
      </c>
      <c r="C10" s="40">
        <v>46052</v>
      </c>
      <c r="D10" s="18" t="s">
        <v>24</v>
      </c>
      <c r="E10" s="24" t="s">
        <v>9</v>
      </c>
      <c r="F10" s="18" t="s">
        <v>118</v>
      </c>
      <c r="G10" s="24" t="s">
        <v>75</v>
      </c>
      <c r="H10" s="28" t="b">
        <v>1</v>
      </c>
      <c r="I10" s="41">
        <f>5/6</f>
        <v>0.83333333333333337</v>
      </c>
      <c r="J10" s="41" cm="1">
        <f t="array" ref="J10">_xlfn.IFS(H10 = FALSE, "", G10 = "Homework", "", I10 &gt; 0, I10, TRUE, "")</f>
        <v>0.83333333333333337</v>
      </c>
      <c r="N10" s="29"/>
      <c r="O10" s="30"/>
      <c r="P10" s="31"/>
      <c r="Q10" s="31"/>
      <c r="R10" s="32"/>
      <c r="S10" s="31"/>
      <c r="T10" s="30"/>
      <c r="U10" s="30"/>
      <c r="V10" s="30"/>
      <c r="W10" s="30"/>
      <c r="X10" s="30"/>
      <c r="Y10" s="33"/>
      <c r="Z10" s="33"/>
    </row>
    <row r="11" spans="1:26" x14ac:dyDescent="0.35">
      <c r="A11" s="42" t="str" cm="1">
        <f t="array" aca="1" ref="A11" ca="1">_xlfn.IFS(H11, "Done", B11 &gt; NOW(), "Not Released", C11 &lt; NOW(), "Overdue", TRUE, ROUND(C11 - NOW(), 1) &amp; " Days")</f>
        <v>Done</v>
      </c>
      <c r="B11" s="27">
        <v>46040</v>
      </c>
      <c r="C11" s="40">
        <v>46048</v>
      </c>
      <c r="D11" s="18" t="s">
        <v>27</v>
      </c>
      <c r="E11" s="24" t="s">
        <v>13</v>
      </c>
      <c r="F11" s="18" t="s">
        <v>115</v>
      </c>
      <c r="G11" s="24" t="s">
        <v>73</v>
      </c>
      <c r="H11" s="28" t="b">
        <v>1</v>
      </c>
      <c r="I11" s="41">
        <v>1</v>
      </c>
      <c r="J11" s="41" cm="1">
        <f t="array" ref="J11">_xlfn.IFS(H11 = FALSE, "", G11 = "Homework", "", I11 &gt; 0, I11, TRUE, "")</f>
        <v>1</v>
      </c>
      <c r="N11" s="34"/>
      <c r="O11" s="3"/>
      <c r="P11" s="35"/>
      <c r="Q11" s="35"/>
      <c r="R11" s="36"/>
      <c r="S11" s="35"/>
      <c r="T11" s="3"/>
      <c r="U11" s="3"/>
      <c r="V11" s="3"/>
      <c r="W11" s="3"/>
      <c r="X11" s="3"/>
      <c r="Y11" s="37"/>
      <c r="Z11" s="37"/>
    </row>
    <row r="12" spans="1:26" x14ac:dyDescent="0.35">
      <c r="A12" s="42" t="str" cm="1">
        <f t="array" aca="1" ref="A12" ca="1">_xlfn.IFS(H12, "Done", B12 &gt; NOW(), "Not Released", C12 &lt; NOW(), "Overdue", TRUE, ROUND(C12 - NOW(), 1) &amp; " Days")</f>
        <v>Done</v>
      </c>
      <c r="B12" s="27">
        <v>46043</v>
      </c>
      <c r="C12" s="40">
        <v>46045</v>
      </c>
      <c r="D12" s="18" t="s">
        <v>24</v>
      </c>
      <c r="E12" s="24" t="s">
        <v>9</v>
      </c>
      <c r="F12" s="18" t="s">
        <v>119</v>
      </c>
      <c r="G12" s="24" t="s">
        <v>75</v>
      </c>
      <c r="H12" s="28" t="b">
        <v>1</v>
      </c>
      <c r="I12" s="41">
        <f>6/7</f>
        <v>0.8571428571428571</v>
      </c>
      <c r="J12" s="41"/>
      <c r="N12" s="29"/>
      <c r="O12" s="30"/>
      <c r="P12" s="31"/>
      <c r="Q12" s="31"/>
      <c r="R12" s="32"/>
      <c r="S12" s="31"/>
      <c r="T12" s="30"/>
      <c r="U12" s="30"/>
      <c r="V12" s="30"/>
      <c r="W12" s="30"/>
      <c r="X12" s="30"/>
      <c r="Y12" s="33"/>
      <c r="Z12" s="33"/>
    </row>
    <row r="13" spans="1:26" x14ac:dyDescent="0.35">
      <c r="A13" s="42" t="str" cm="1">
        <f t="array" aca="1" ref="A13" ca="1">_xlfn.IFS(H13, "Done", B13 &gt; NOW(), "Not Released", C13 &lt; NOW(), "Overdue", TRUE, ROUND(C13 - NOW(), 1) &amp; " Days")</f>
        <v>Done</v>
      </c>
      <c r="B13" s="27">
        <v>46033</v>
      </c>
      <c r="C13" s="40">
        <v>46036</v>
      </c>
      <c r="D13" s="18" t="s">
        <v>27</v>
      </c>
      <c r="E13" s="24" t="s">
        <v>13</v>
      </c>
      <c r="F13" s="18" t="s">
        <v>90</v>
      </c>
      <c r="G13" s="24" t="s">
        <v>75</v>
      </c>
      <c r="H13" s="28" t="b">
        <v>1</v>
      </c>
      <c r="I13" s="41">
        <v>0.51</v>
      </c>
      <c r="J13" s="41" cm="1">
        <f t="array" ref="J13">_xlfn.IFS(H13 = FALSE, "", G13 = "Homework", "", I13 &gt; 0, I13, TRUE, "")</f>
        <v>0.51</v>
      </c>
      <c r="N13" s="34"/>
      <c r="O13" s="3"/>
      <c r="P13" s="35"/>
      <c r="Q13" s="35"/>
      <c r="R13" s="36"/>
      <c r="S13" s="35"/>
      <c r="T13" s="3"/>
      <c r="U13" s="3"/>
      <c r="V13" s="3"/>
      <c r="W13" s="3"/>
      <c r="X13" s="3"/>
      <c r="Y13" s="37"/>
      <c r="Z13" s="37"/>
    </row>
    <row r="14" spans="1:26" x14ac:dyDescent="0.35">
      <c r="A14" s="42" t="str" cm="1">
        <f t="array" aca="1" ref="A14" ca="1">_xlfn.IFS(H14, "Done", B14 &gt; NOW(), "Not Released", C14 &lt; NOW(), "Overdue", TRUE, ROUND(C14 - NOW(), 1) &amp; " Days")</f>
        <v>Done</v>
      </c>
      <c r="B14" s="27">
        <v>46002</v>
      </c>
      <c r="C14" s="40">
        <v>46003</v>
      </c>
      <c r="D14" s="18" t="s">
        <v>24</v>
      </c>
      <c r="E14" s="24" t="s">
        <v>9</v>
      </c>
      <c r="F14" s="18" t="s">
        <v>88</v>
      </c>
      <c r="G14" s="24" t="s">
        <v>75</v>
      </c>
      <c r="H14" s="28" t="b">
        <v>1</v>
      </c>
      <c r="I14" s="41">
        <v>0.83333333333333337</v>
      </c>
      <c r="J14" s="41" cm="1">
        <f t="array" ref="J14">_xlfn.IFS(H14 = FALSE, "", G14 = "Homework", "", I14 &gt; 0, I14, TRUE, "")</f>
        <v>0.83333333333333337</v>
      </c>
      <c r="N14" s="29"/>
      <c r="O14" s="30"/>
      <c r="P14" s="31"/>
      <c r="Q14" s="31"/>
      <c r="R14" s="32"/>
      <c r="S14" s="31"/>
      <c r="T14" s="30"/>
      <c r="U14" s="30"/>
      <c r="V14" s="30"/>
      <c r="W14" s="30"/>
      <c r="X14" s="30"/>
      <c r="Y14" s="33"/>
      <c r="Z14" s="33"/>
    </row>
    <row r="15" spans="1:26" x14ac:dyDescent="0.35">
      <c r="A15" s="42" t="str" cm="1">
        <f t="array" aca="1" ref="A15" ca="1">_xlfn.IFS(H15, "Done", B15 &gt; NOW(), "Not Released", C15 &lt; NOW(), "Overdue", TRUE, ROUND(C15 - NOW(), 1) &amp; " Days")</f>
        <v>Done</v>
      </c>
      <c r="B15" s="27">
        <v>45989</v>
      </c>
      <c r="C15" s="40">
        <v>45999</v>
      </c>
      <c r="D15" s="18" t="s">
        <v>27</v>
      </c>
      <c r="E15" s="24" t="s">
        <v>13</v>
      </c>
      <c r="F15" s="18" t="s">
        <v>87</v>
      </c>
      <c r="G15" s="24" t="s">
        <v>73</v>
      </c>
      <c r="H15" s="28" t="b">
        <v>1</v>
      </c>
      <c r="I15" s="41">
        <v>0.9</v>
      </c>
      <c r="J15" s="41" cm="1">
        <f t="array" ref="J15">_xlfn.IFS(H15 = FALSE, "", G15 = "Homework", "", I15 &gt; 0, I15, TRUE, "")</f>
        <v>0.9</v>
      </c>
      <c r="N15" s="34"/>
      <c r="O15" s="3"/>
      <c r="P15" s="35"/>
      <c r="Q15" s="35"/>
      <c r="R15" s="36"/>
      <c r="S15" s="35"/>
      <c r="T15" s="3"/>
      <c r="U15" s="3"/>
      <c r="V15" s="3"/>
      <c r="W15" s="3"/>
      <c r="X15" s="3"/>
      <c r="Y15" s="37"/>
      <c r="Z15" s="37"/>
    </row>
    <row r="16" spans="1:26" x14ac:dyDescent="0.35">
      <c r="A16" s="42" t="str" cm="1">
        <f t="array" aca="1" ref="A16" ca="1">_xlfn.IFS(H16, "Done", B16 &gt; NOW(), "Not Released", C16 &lt; NOW(), "Overdue", TRUE, ROUND(C16 - NOW(), 1) &amp; " Days")</f>
        <v>Done</v>
      </c>
      <c r="B16" s="27">
        <v>45995</v>
      </c>
      <c r="C16" s="40">
        <v>45996</v>
      </c>
      <c r="D16" s="18" t="s">
        <v>24</v>
      </c>
      <c r="E16" s="24" t="s">
        <v>9</v>
      </c>
      <c r="F16" s="18" t="s">
        <v>86</v>
      </c>
      <c r="G16" s="24" t="s">
        <v>75</v>
      </c>
      <c r="H16" s="28" t="b">
        <v>1</v>
      </c>
      <c r="I16" s="41">
        <v>1</v>
      </c>
      <c r="J16" s="41" cm="1">
        <f t="array" ref="J16">_xlfn.IFS(H16 = FALSE, "", G16 = "Homework", "", I16 &gt; 0, I16, TRUE, "")</f>
        <v>1</v>
      </c>
      <c r="N16" s="29"/>
      <c r="O16" s="30"/>
      <c r="P16" s="31"/>
      <c r="Q16" s="31"/>
      <c r="R16" s="32"/>
      <c r="S16" s="30"/>
      <c r="T16" s="30"/>
      <c r="U16" s="30"/>
      <c r="V16" s="30"/>
      <c r="W16" s="30"/>
      <c r="X16" s="30"/>
      <c r="Y16" s="33"/>
      <c r="Z16" s="33"/>
    </row>
    <row r="17" spans="1:26" x14ac:dyDescent="0.35">
      <c r="A17" s="42" t="str" cm="1">
        <f t="array" aca="1" ref="A17" ca="1">_xlfn.IFS(H17, "Done", B17 &gt; NOW(), "Not Released", C17 &lt; NOW(), "Overdue", TRUE, ROUND(C17 - NOW(), 1) &amp; " Days")</f>
        <v>Done</v>
      </c>
      <c r="B17" s="27">
        <v>45982</v>
      </c>
      <c r="C17" s="40">
        <v>45992</v>
      </c>
      <c r="D17" s="18" t="s">
        <v>27</v>
      </c>
      <c r="E17" s="24" t="s">
        <v>13</v>
      </c>
      <c r="F17" s="18" t="s">
        <v>85</v>
      </c>
      <c r="G17" s="24" t="s">
        <v>71</v>
      </c>
      <c r="H17" s="28" t="b">
        <v>1</v>
      </c>
      <c r="I17" s="41">
        <v>1</v>
      </c>
      <c r="J17" s="41" t="str" cm="1">
        <f t="array" ref="J17">_xlfn.IFS(H17 = FALSE, "", G17 = "Homework", "", I17 &gt; 0, I17, TRUE, "")</f>
        <v/>
      </c>
      <c r="N17" s="34"/>
      <c r="O17" s="3"/>
      <c r="P17" s="35"/>
      <c r="Q17" s="35"/>
      <c r="R17" s="36"/>
      <c r="S17" s="35"/>
      <c r="T17" s="3"/>
      <c r="U17" s="3"/>
      <c r="V17" s="3"/>
      <c r="W17" s="3"/>
      <c r="X17" s="3"/>
      <c r="Y17" s="37"/>
      <c r="Z17" s="37"/>
    </row>
    <row r="18" spans="1:26" x14ac:dyDescent="0.35">
      <c r="A18" s="42" t="str" cm="1">
        <f t="array" aca="1" ref="A18" ca="1">_xlfn.IFS(H18, "Done", B18 &gt; NOW(), "Not Released", C18 &lt; NOW(), "Overdue", TRUE, ROUND(C18 - NOW(), 1) &amp; " Days")</f>
        <v>Done</v>
      </c>
      <c r="B18" s="27">
        <v>45988</v>
      </c>
      <c r="C18" s="40">
        <v>45989</v>
      </c>
      <c r="D18" s="18" t="s">
        <v>24</v>
      </c>
      <c r="E18" s="24" t="s">
        <v>9</v>
      </c>
      <c r="F18" s="18" t="s">
        <v>84</v>
      </c>
      <c r="G18" s="24" t="s">
        <v>75</v>
      </c>
      <c r="H18" s="28" t="b">
        <v>1</v>
      </c>
      <c r="I18" s="41">
        <v>0.875</v>
      </c>
      <c r="J18" s="41" cm="1">
        <f t="array" ref="J18">_xlfn.IFS(H18 = FALSE, "", G18 = "Homework", "", I18 &gt; 0, I18, TRUE, "")</f>
        <v>0.875</v>
      </c>
      <c r="N18" s="29"/>
      <c r="O18" s="30"/>
      <c r="P18" s="31"/>
      <c r="Q18" s="31"/>
      <c r="R18" s="32"/>
      <c r="S18" s="31"/>
      <c r="T18" s="30"/>
      <c r="U18" s="30"/>
      <c r="V18" s="30"/>
      <c r="W18" s="30"/>
      <c r="X18" s="30"/>
      <c r="Y18" s="33"/>
      <c r="Z18" s="33"/>
    </row>
    <row r="19" spans="1:26" x14ac:dyDescent="0.35">
      <c r="A19" s="42" t="str" cm="1">
        <f t="array" aca="1" ref="A19" ca="1">_xlfn.IFS(H19, "Done", B19 &gt; NOW(), "Not Released", C19 &lt; NOW(), "Overdue", TRUE, ROUND(C19 - NOW(), 1) &amp; " Days")</f>
        <v>Done</v>
      </c>
      <c r="B19" s="27">
        <v>45978</v>
      </c>
      <c r="C19" s="40">
        <v>45985</v>
      </c>
      <c r="D19" s="18" t="s">
        <v>27</v>
      </c>
      <c r="E19" s="24" t="s">
        <v>13</v>
      </c>
      <c r="F19" s="18" t="s">
        <v>83</v>
      </c>
      <c r="G19" s="24" t="s">
        <v>73</v>
      </c>
      <c r="H19" s="28" t="b">
        <v>1</v>
      </c>
      <c r="I19" s="41">
        <v>0.8</v>
      </c>
      <c r="J19" s="41" cm="1">
        <f t="array" ref="J19">_xlfn.IFS(H19 = FALSE, "", G19 = "Homework", "", I19 &gt; 0, I19, TRUE, "")</f>
        <v>0.8</v>
      </c>
      <c r="N19" s="34"/>
      <c r="O19" s="3"/>
      <c r="P19" s="35"/>
      <c r="Q19" s="35"/>
      <c r="R19" s="36"/>
      <c r="S19" s="35"/>
      <c r="T19" s="3"/>
      <c r="U19" s="3"/>
      <c r="V19" s="3"/>
      <c r="W19" s="3"/>
      <c r="X19" s="3"/>
      <c r="Y19" s="37"/>
      <c r="Z19" s="37"/>
    </row>
    <row r="20" spans="1:26" x14ac:dyDescent="0.35">
      <c r="A20" s="42" t="str" cm="1">
        <f t="array" aca="1" ref="A20" ca="1">_xlfn.IFS(H20, "Done", B20 &gt; NOW(), "Not Released", C20 &lt; NOW(), "Overdue", TRUE, ROUND(C20 - NOW(), 1) &amp; " Days")</f>
        <v>Done</v>
      </c>
      <c r="B20" s="27">
        <v>45981</v>
      </c>
      <c r="C20" s="40">
        <v>45982</v>
      </c>
      <c r="D20" s="18" t="s">
        <v>24</v>
      </c>
      <c r="E20" s="24" t="s">
        <v>9</v>
      </c>
      <c r="F20" s="18" t="s">
        <v>82</v>
      </c>
      <c r="G20" s="24" t="s">
        <v>75</v>
      </c>
      <c r="H20" s="28" t="b">
        <v>1</v>
      </c>
      <c r="I20" s="41">
        <v>0.7142857142857143</v>
      </c>
      <c r="J20" s="41" cm="1">
        <f t="array" ref="J20">_xlfn.IFS(H20 = FALSE, "", G20 = "Homework", "", I20 &gt; 0, I20, TRUE, "")</f>
        <v>0.7142857142857143</v>
      </c>
      <c r="N20" s="29"/>
      <c r="O20" s="30"/>
      <c r="P20" s="31"/>
      <c r="Q20" s="31"/>
      <c r="R20" s="32"/>
      <c r="S20" s="31"/>
      <c r="T20" s="30"/>
      <c r="U20" s="30"/>
      <c r="V20" s="30"/>
      <c r="W20" s="30"/>
      <c r="X20" s="30"/>
      <c r="Y20" s="33"/>
      <c r="Z20" s="33"/>
    </row>
    <row r="21" spans="1:26" x14ac:dyDescent="0.35">
      <c r="A21" s="42" t="str" cm="1">
        <f t="array" aca="1" ref="A21" ca="1">_xlfn.IFS(H21, "Done", B21 &gt; NOW(), "Not Released", C21 &lt; NOW(), "Overdue", TRUE, ROUND(C21 - NOW(), 1) &amp; " Days")</f>
        <v>Done</v>
      </c>
      <c r="B21" s="27">
        <v>45971</v>
      </c>
      <c r="C21" s="40">
        <v>45978</v>
      </c>
      <c r="D21" s="18" t="s">
        <v>27</v>
      </c>
      <c r="E21" s="24" t="s">
        <v>13</v>
      </c>
      <c r="F21" s="18" t="s">
        <v>81</v>
      </c>
      <c r="G21" s="24" t="s">
        <v>71</v>
      </c>
      <c r="H21" s="28" t="b">
        <v>1</v>
      </c>
      <c r="I21" s="41">
        <v>1</v>
      </c>
      <c r="J21" s="41" t="str" cm="1">
        <f t="array" ref="J21">_xlfn.IFS(H21 = FALSE, "", G21 = "Homework", "", I21 &gt; 0, I21, TRUE, "")</f>
        <v/>
      </c>
      <c r="N21" s="34"/>
      <c r="O21" s="3"/>
      <c r="P21" s="35"/>
      <c r="Q21" s="35"/>
      <c r="R21" s="36"/>
      <c r="S21" s="35"/>
      <c r="T21" s="3"/>
      <c r="U21" s="3"/>
      <c r="V21" s="3"/>
      <c r="W21" s="3"/>
      <c r="X21" s="3"/>
      <c r="Y21" s="37"/>
      <c r="Z21" s="37"/>
    </row>
    <row r="22" spans="1:26" x14ac:dyDescent="0.35">
      <c r="A22" s="42" t="str" cm="1">
        <f t="array" aca="1" ref="A22" ca="1">_xlfn.IFS(H22, "Done", B22 &gt; NOW(), "Not Released", C22 &lt; NOW(), "Overdue", TRUE, ROUND(C22 - NOW(), 1) &amp; " Days")</f>
        <v>Done</v>
      </c>
      <c r="B22" s="27">
        <v>45973</v>
      </c>
      <c r="C22" s="40">
        <v>45975</v>
      </c>
      <c r="D22" s="18" t="s">
        <v>24</v>
      </c>
      <c r="E22" s="24" t="s">
        <v>9</v>
      </c>
      <c r="F22" s="18" t="s">
        <v>80</v>
      </c>
      <c r="G22" s="24" t="s">
        <v>75</v>
      </c>
      <c r="H22" s="28" t="b">
        <v>1</v>
      </c>
      <c r="I22" s="41">
        <v>1</v>
      </c>
      <c r="J22" s="41" cm="1">
        <f t="array" ref="J22">_xlfn.IFS(H22 = FALSE, "", G22 = "Homework", "", I22 &gt; 0, I22, TRUE, "")</f>
        <v>1</v>
      </c>
      <c r="N22" s="29"/>
      <c r="O22" s="30"/>
      <c r="P22" s="31"/>
      <c r="Q22" s="31"/>
      <c r="R22" s="32"/>
      <c r="S22" s="31"/>
      <c r="T22" s="30"/>
      <c r="U22" s="30"/>
      <c r="V22" s="30"/>
      <c r="W22" s="30"/>
      <c r="X22" s="30"/>
      <c r="Y22" s="33"/>
      <c r="Z22" s="33"/>
    </row>
    <row r="23" spans="1:26" x14ac:dyDescent="0.35">
      <c r="A23" s="42" t="str" cm="1">
        <f t="array" aca="1" ref="A23" ca="1">_xlfn.IFS(H23, "Done", B23 &gt; NOW(), "Not Released", C23 &lt; NOW(), "Overdue", TRUE, ROUND(C23 - NOW(), 1) &amp; " Days")</f>
        <v>Done</v>
      </c>
      <c r="B23" s="27">
        <v>45961</v>
      </c>
      <c r="C23" s="40">
        <v>45971</v>
      </c>
      <c r="D23" s="18" t="s">
        <v>27</v>
      </c>
      <c r="E23" s="24" t="s">
        <v>13</v>
      </c>
      <c r="F23" s="18" t="s">
        <v>79</v>
      </c>
      <c r="G23" s="24" t="s">
        <v>73</v>
      </c>
      <c r="H23" s="28" t="b">
        <v>1</v>
      </c>
      <c r="I23" s="41">
        <v>0.6</v>
      </c>
      <c r="J23" s="41" cm="1">
        <f t="array" ref="J23">_xlfn.IFS(H23 = FALSE, "", G23 = "Homework", "", I23 &gt; 0, I23, TRUE, "")</f>
        <v>0.6</v>
      </c>
      <c r="N23" s="34"/>
      <c r="O23" s="3"/>
      <c r="P23" s="35"/>
      <c r="Q23" s="35"/>
      <c r="R23" s="36"/>
      <c r="S23" s="35"/>
      <c r="T23" s="3"/>
      <c r="U23" s="3"/>
      <c r="V23" s="3"/>
      <c r="W23" s="3"/>
      <c r="X23" s="3"/>
      <c r="Y23" s="37"/>
      <c r="Z23" s="37"/>
    </row>
    <row r="24" spans="1:26" x14ac:dyDescent="0.35">
      <c r="A24" s="42" t="str" cm="1">
        <f t="array" aca="1" ref="A24" ca="1">_xlfn.IFS(H24, "Done", B24 &gt; NOW(), "Not Released", C24 &lt; NOW(), "Overdue", TRUE, ROUND(C24 - NOW(), 1) &amp; " Days")</f>
        <v>Done</v>
      </c>
      <c r="B24" s="27">
        <v>45966</v>
      </c>
      <c r="C24" s="40">
        <v>45968</v>
      </c>
      <c r="D24" s="18" t="s">
        <v>24</v>
      </c>
      <c r="E24" s="24" t="s">
        <v>9</v>
      </c>
      <c r="F24" s="18" t="s">
        <v>78</v>
      </c>
      <c r="G24" s="24" t="s">
        <v>75</v>
      </c>
      <c r="H24" s="28" t="b">
        <v>1</v>
      </c>
      <c r="I24" s="41">
        <v>0.63</v>
      </c>
      <c r="J24" s="41" cm="1">
        <f t="array" ref="J24">_xlfn.IFS(H24 = FALSE, "", G24 = "Homework", "", I24 &gt; 0, I24, TRUE, "")</f>
        <v>0.63</v>
      </c>
      <c r="N24" s="29"/>
      <c r="O24" s="30"/>
      <c r="P24" s="31"/>
      <c r="Q24" s="31"/>
      <c r="R24" s="32"/>
      <c r="S24" s="31"/>
      <c r="T24" s="30"/>
      <c r="U24" s="30"/>
      <c r="V24" s="30"/>
      <c r="W24" s="30"/>
      <c r="X24" s="30"/>
      <c r="Y24" s="33"/>
      <c r="Z24" s="33"/>
    </row>
    <row r="25" spans="1:26" x14ac:dyDescent="0.35">
      <c r="A25" s="42" t="str" cm="1">
        <f t="array" aca="1" ref="A25" ca="1">_xlfn.IFS(H25, "Done", B25 &gt; NOW(), "Not Released", C25 &lt; NOW(), "Overdue", TRUE, ROUND(C25 - NOW(), 1) &amp; " Days")</f>
        <v>Done</v>
      </c>
      <c r="B25" s="27">
        <v>45954</v>
      </c>
      <c r="C25" s="40">
        <v>45964</v>
      </c>
      <c r="D25" s="18" t="s">
        <v>27</v>
      </c>
      <c r="E25" s="24" t="s">
        <v>13</v>
      </c>
      <c r="F25" s="18" t="s">
        <v>77</v>
      </c>
      <c r="G25" s="24" t="s">
        <v>71</v>
      </c>
      <c r="H25" s="28" t="b">
        <v>1</v>
      </c>
      <c r="I25" s="41">
        <v>1</v>
      </c>
      <c r="J25" s="41" t="str" cm="1">
        <f t="array" ref="J25">_xlfn.IFS(H25 = FALSE, "", G25 = "Homework", "", I25 &gt; 0, I25, TRUE, "")</f>
        <v/>
      </c>
      <c r="N25" s="34"/>
      <c r="O25" s="3"/>
      <c r="P25" s="35"/>
      <c r="Q25" s="35"/>
      <c r="R25" s="36"/>
      <c r="S25" s="35"/>
      <c r="T25" s="3"/>
      <c r="U25" s="3"/>
      <c r="V25" s="3"/>
      <c r="W25" s="3"/>
      <c r="X25" s="3"/>
      <c r="Y25" s="37"/>
      <c r="Z25" s="37"/>
    </row>
    <row r="26" spans="1:26" x14ac:dyDescent="0.35">
      <c r="A26" s="42" t="str" cm="1">
        <f t="array" aca="1" ref="A26" ca="1">_xlfn.IFS(H26, "Done", B26 &gt; NOW(), "Not Released", C26 &lt; NOW(), "Overdue", TRUE, ROUND(C26 - NOW(), 1) &amp; " Days")</f>
        <v>Done</v>
      </c>
      <c r="B26" s="27">
        <v>45959</v>
      </c>
      <c r="C26" s="40">
        <v>45961</v>
      </c>
      <c r="D26" s="18" t="s">
        <v>24</v>
      </c>
      <c r="E26" s="24" t="s">
        <v>9</v>
      </c>
      <c r="F26" s="18" t="s">
        <v>76</v>
      </c>
      <c r="G26" s="24" t="s">
        <v>75</v>
      </c>
      <c r="H26" s="28" t="b">
        <v>1</v>
      </c>
      <c r="I26" s="41">
        <v>0.56000000000000005</v>
      </c>
      <c r="J26" s="41" cm="1">
        <f t="array" ref="J26">_xlfn.IFS(H26 = FALSE, "", G26 = "Homework", "", I26 &gt; 0, I26, TRUE, "")</f>
        <v>0.56000000000000005</v>
      </c>
    </row>
    <row r="27" spans="1:26" x14ac:dyDescent="0.35">
      <c r="A27" s="42" t="str" cm="1">
        <f t="array" aca="1" ref="A27" ca="1">_xlfn.IFS(H27, "Done", B27 &gt; NOW(), "Not Released", C27 &lt; NOW(), "Overdue", TRUE, ROUND(C27 - NOW(), 1) &amp; " Days")</f>
        <v>Done</v>
      </c>
      <c r="B27" s="27">
        <v>45943</v>
      </c>
      <c r="C27" s="40">
        <v>45957</v>
      </c>
      <c r="D27" s="18" t="s">
        <v>27</v>
      </c>
      <c r="E27" s="24" t="s">
        <v>13</v>
      </c>
      <c r="F27" s="18" t="s">
        <v>74</v>
      </c>
      <c r="G27" s="24" t="s">
        <v>73</v>
      </c>
      <c r="H27" s="28" t="b">
        <v>1</v>
      </c>
      <c r="I27" s="41">
        <v>0.9</v>
      </c>
      <c r="J27" s="41" cm="1">
        <f t="array" ref="J27">_xlfn.IFS(H27 = FALSE, "", G27 = "Homework", "", I27 &gt; 0, I27, TRUE, "")</f>
        <v>0.9</v>
      </c>
    </row>
    <row r="28" spans="1:26" x14ac:dyDescent="0.35">
      <c r="A28" s="42" t="str" cm="1">
        <f t="array" aca="1" ref="A28" ca="1">_xlfn.IFS(H28, "Done", B28 &gt; NOW(), "Not Released", C28 &lt; NOW(), "Overdue", TRUE, ROUND(C28 - NOW(), 1) &amp; " Days")</f>
        <v>Done</v>
      </c>
      <c r="B28" s="27">
        <v>45936</v>
      </c>
      <c r="C28" s="40">
        <v>45950</v>
      </c>
      <c r="D28" s="18" t="s">
        <v>27</v>
      </c>
      <c r="E28" s="24" t="s">
        <v>13</v>
      </c>
      <c r="F28" s="18" t="s">
        <v>72</v>
      </c>
      <c r="G28" s="24" t="s">
        <v>71</v>
      </c>
      <c r="H28" s="28" t="b">
        <v>1</v>
      </c>
      <c r="I28" s="41">
        <v>1</v>
      </c>
      <c r="J28" s="41" t="str" cm="1">
        <f t="array" ref="J28">_xlfn.IFS(H28 = FALSE, "", G28 = "Homework", "", I28 &gt; 0, I28, TRUE, "")</f>
        <v/>
      </c>
    </row>
    <row r="29" spans="1:26" x14ac:dyDescent="0.35">
      <c r="A29" s="42"/>
      <c r="G29" s="24"/>
      <c r="J29" s="41"/>
    </row>
    <row r="30" spans="1:26" x14ac:dyDescent="0.35">
      <c r="A30" s="42"/>
      <c r="G30" s="24"/>
      <c r="J30" s="41"/>
    </row>
    <row r="31" spans="1:26" x14ac:dyDescent="0.35">
      <c r="A31" s="42"/>
      <c r="G31" s="24"/>
      <c r="J31" s="41"/>
    </row>
    <row r="32" spans="1:26" x14ac:dyDescent="0.35">
      <c r="A32" s="42"/>
      <c r="G32" s="24"/>
      <c r="J32" s="41"/>
    </row>
    <row r="33" spans="1:10" x14ac:dyDescent="0.35">
      <c r="A33" s="42"/>
      <c r="G33" s="24"/>
      <c r="J33" s="41"/>
    </row>
    <row r="34" spans="1:10" x14ac:dyDescent="0.35">
      <c r="A34" s="42"/>
      <c r="G34" s="24"/>
      <c r="J34" s="41"/>
    </row>
    <row r="35" spans="1:10" x14ac:dyDescent="0.35">
      <c r="A35" s="42"/>
      <c r="G35" s="24"/>
      <c r="J35" s="41"/>
    </row>
    <row r="36" spans="1:10" x14ac:dyDescent="0.35">
      <c r="A36" s="42"/>
      <c r="G36" s="24"/>
      <c r="J36" s="41"/>
    </row>
    <row r="37" spans="1:10" x14ac:dyDescent="0.35">
      <c r="A37" s="42"/>
      <c r="G37" s="24"/>
      <c r="J37" s="41"/>
    </row>
    <row r="38" spans="1:10" x14ac:dyDescent="0.35">
      <c r="A38" s="42"/>
      <c r="G38" s="24"/>
      <c r="J38" s="41"/>
    </row>
    <row r="39" spans="1:10" x14ac:dyDescent="0.35">
      <c r="A39" s="42"/>
      <c r="G39" s="24"/>
      <c r="J39" s="41"/>
    </row>
    <row r="40" spans="1:10" x14ac:dyDescent="0.35">
      <c r="A40" s="42"/>
      <c r="G40" s="24"/>
      <c r="J40" s="41"/>
    </row>
    <row r="41" spans="1:10" x14ac:dyDescent="0.35">
      <c r="A41" s="42"/>
      <c r="G41" s="24"/>
      <c r="J41" s="41"/>
    </row>
    <row r="42" spans="1:10" x14ac:dyDescent="0.35">
      <c r="A42" s="42"/>
      <c r="G42" s="24"/>
      <c r="J42" s="41"/>
    </row>
    <row r="43" spans="1:10" x14ac:dyDescent="0.35">
      <c r="A43" s="42"/>
      <c r="G43" s="24"/>
    </row>
    <row r="44" spans="1:10" x14ac:dyDescent="0.35">
      <c r="A44" s="42"/>
      <c r="G44" s="24"/>
    </row>
    <row r="45" spans="1:10" x14ac:dyDescent="0.35">
      <c r="A45" s="42"/>
    </row>
    <row r="46" spans="1:10" x14ac:dyDescent="0.35">
      <c r="A46" s="42"/>
    </row>
    <row r="47" spans="1:10" x14ac:dyDescent="0.35">
      <c r="A47" s="42"/>
    </row>
    <row r="48" spans="1:10" x14ac:dyDescent="0.35">
      <c r="A48" s="42"/>
    </row>
    <row r="49" spans="1:1" x14ac:dyDescent="0.35">
      <c r="A49" s="42"/>
    </row>
    <row r="50" spans="1:1" x14ac:dyDescent="0.35">
      <c r="A50" s="42"/>
    </row>
    <row r="51" spans="1:1" x14ac:dyDescent="0.35">
      <c r="A51" s="42"/>
    </row>
    <row r="52" spans="1:1" x14ac:dyDescent="0.35">
      <c r="A52" s="42"/>
    </row>
  </sheetData>
  <sortState xmlns:xlrd2="http://schemas.microsoft.com/office/spreadsheetml/2017/richdata2" ref="A2:J28">
    <sortCondition descending="1" ref="C2:C28"/>
  </sortState>
  <phoneticPr fontId="5" type="noConversion"/>
  <conditionalFormatting sqref="A2:A1008">
    <cfRule type="cellIs" dxfId="11" priority="1" operator="equal">
      <formula>"Not Released"</formula>
    </cfRule>
  </conditionalFormatting>
  <conditionalFormatting sqref="A2:A1048576">
    <cfRule type="cellIs" dxfId="10" priority="2" operator="equal">
      <formula>"Overdue"</formula>
    </cfRule>
    <cfRule type="cellIs" dxfId="9" priority="3" operator="equal">
      <formula>"Done"</formula>
    </cfRule>
  </conditionalFormatting>
  <conditionalFormatting sqref="G2:G1048576">
    <cfRule type="cellIs" dxfId="8" priority="6" operator="equal">
      <formula>"Coursework"</formula>
    </cfRule>
    <cfRule type="cellIs" dxfId="7" priority="7" operator="equal">
      <formula>"Exam"</formula>
    </cfRule>
    <cfRule type="cellIs" dxfId="6" priority="8" operator="equal">
      <formula>"Homework"</formula>
    </cfRule>
  </conditionalFormatting>
  <dataValidations count="3">
    <dataValidation type="list" allowBlank="1" showInputMessage="1" showErrorMessage="1" sqref="T2:T25" xr:uid="{5C95B2A2-6B3B-4333-9EFF-D8A76802DB5B}">
      <formula1>"Coursework, Exam, Homework"</formula1>
    </dataValidation>
    <dataValidation type="list" allowBlank="1" showInputMessage="1" showErrorMessage="1" sqref="N2:N25" xr:uid="{FD344A20-7174-4C7E-9EC5-8B3EF4DF4CD8}">
      <formula1>"Algorithms and Data Structures, Computational Thinking, Computer Systems, Discrete Mathematics, Mathematics for Computer Science, Programming (Black)"</formula1>
    </dataValidation>
    <dataValidation type="list" allowBlank="1" showInputMessage="1" showErrorMessage="1" sqref="G2:G1048576" xr:uid="{EDE689F3-2CDB-4CC3-ACBA-ACBB3F844905}">
      <formula1>"Exam, Coursework, Homework"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8D8E-F8D7-40A4-B9E1-615640CA4603}">
  <dimension ref="A1:Z20"/>
  <sheetViews>
    <sheetView zoomScaleNormal="100" workbookViewId="0">
      <pane ySplit="1" topLeftCell="A2" activePane="bottomLeft" state="frozen"/>
      <selection pane="bottomLeft" activeCell="I5" sqref="I5"/>
    </sheetView>
  </sheetViews>
  <sheetFormatPr defaultColWidth="8.7265625" defaultRowHeight="14.5" x14ac:dyDescent="0.35"/>
  <cols>
    <col min="1" max="1" width="11.54296875" style="43" bestFit="1" customWidth="1"/>
    <col min="2" max="2" width="11.7265625" style="18" bestFit="1" customWidth="1"/>
    <col min="3" max="3" width="10.453125" style="18" bestFit="1" customWidth="1"/>
    <col min="4" max="4" width="11.7265625" style="18" bestFit="1" customWidth="1"/>
    <col min="5" max="5" width="29.7265625" style="18" bestFit="1" customWidth="1"/>
    <col min="6" max="6" width="28.81640625" style="18" bestFit="1" customWidth="1"/>
    <col min="7" max="7" width="14.90625" style="18" bestFit="1" customWidth="1"/>
    <col min="8" max="8" width="6.08984375" style="18" bestFit="1" customWidth="1"/>
    <col min="9" max="9" width="7.26953125" style="45" bestFit="1" customWidth="1"/>
    <col min="10" max="10" width="9.1796875" style="18" bestFit="1" customWidth="1"/>
    <col min="11" max="11" width="13.81640625" style="18" bestFit="1" customWidth="1"/>
    <col min="12" max="13" width="8.7265625" style="18"/>
    <col min="14" max="14" width="31.08984375" style="18" bestFit="1" customWidth="1"/>
    <col min="15" max="15" width="8.7265625" style="18"/>
    <col min="16" max="17" width="10.7265625" style="18" bestFit="1" customWidth="1"/>
    <col min="18" max="18" width="8.90625" style="18" bestFit="1" customWidth="1"/>
    <col min="19" max="16384" width="8.7265625" style="18"/>
  </cols>
  <sheetData>
    <row r="1" spans="1:26" x14ac:dyDescent="0.35">
      <c r="A1" s="39" t="s">
        <v>63</v>
      </c>
      <c r="B1" s="20" t="s">
        <v>64</v>
      </c>
      <c r="C1" s="39" t="s">
        <v>65</v>
      </c>
      <c r="D1" s="20" t="s">
        <v>3</v>
      </c>
      <c r="E1" s="39" t="s">
        <v>4</v>
      </c>
      <c r="F1" s="20" t="s">
        <v>66</v>
      </c>
      <c r="G1" s="39" t="s">
        <v>67</v>
      </c>
      <c r="H1" s="20" t="s">
        <v>68</v>
      </c>
      <c r="I1" s="39" t="s">
        <v>69</v>
      </c>
      <c r="J1" s="39" t="s">
        <v>91</v>
      </c>
      <c r="K1" s="20" t="s">
        <v>111</v>
      </c>
    </row>
    <row r="2" spans="1:26" x14ac:dyDescent="0.35">
      <c r="A2" s="42" t="str" cm="1">
        <f t="array" aca="1" ref="A2" ca="1">_xlfn.IFS(H2, "Done", B2 &gt; NOW(), "Not Released", C2 &lt; NOW(), "Overdue", TRUE, ROUND(C2 - NOW(), 1) &amp; " Days")</f>
        <v>Done</v>
      </c>
      <c r="B2" s="27">
        <v>46093</v>
      </c>
      <c r="C2" s="40">
        <v>46168</v>
      </c>
      <c r="D2" s="18" t="s">
        <v>114</v>
      </c>
      <c r="E2" s="24" t="s">
        <v>13</v>
      </c>
      <c r="F2" s="18" t="s">
        <v>130</v>
      </c>
      <c r="G2" s="24" t="s">
        <v>75</v>
      </c>
      <c r="H2" s="28" t="b">
        <v>1</v>
      </c>
      <c r="I2" s="44">
        <v>0.55000000000000004</v>
      </c>
      <c r="J2" s="41">
        <v>0.7</v>
      </c>
      <c r="K2" s="45">
        <f t="shared" ref="K2:K18" si="0">J2*I2</f>
        <v>0.38500000000000001</v>
      </c>
    </row>
    <row r="3" spans="1:26" x14ac:dyDescent="0.35">
      <c r="A3" s="42" t="str" cm="1">
        <f t="array" aca="1" ref="A3" ca="1">_xlfn.IFS(H3, "Done", B3 &gt; NOW(), "Not Released", C3 &lt; NOW(), "Overdue", TRUE, ROUND(C3 - NOW(), 1) &amp; " Days")</f>
        <v>Done</v>
      </c>
      <c r="B3" s="27">
        <v>46093</v>
      </c>
      <c r="C3" s="40">
        <v>46163</v>
      </c>
      <c r="D3" s="18" t="s">
        <v>24</v>
      </c>
      <c r="E3" s="24" t="s">
        <v>9</v>
      </c>
      <c r="F3" s="18" t="s">
        <v>130</v>
      </c>
      <c r="G3" s="24" t="s">
        <v>75</v>
      </c>
      <c r="H3" s="28" t="b">
        <v>1</v>
      </c>
      <c r="I3" s="44">
        <v>0.54</v>
      </c>
      <c r="J3" s="41">
        <v>0.66</v>
      </c>
      <c r="K3" s="45">
        <f t="shared" si="0"/>
        <v>0.35640000000000005</v>
      </c>
      <c r="N3" s="29"/>
      <c r="O3" s="30"/>
      <c r="P3" s="31"/>
      <c r="Q3" s="31"/>
      <c r="R3" s="32"/>
      <c r="S3" s="31"/>
      <c r="T3" s="30"/>
      <c r="U3" s="30"/>
      <c r="V3" s="38"/>
      <c r="W3" s="30"/>
      <c r="X3" s="30"/>
      <c r="Y3" s="33"/>
      <c r="Z3" s="33"/>
    </row>
    <row r="4" spans="1:26" x14ac:dyDescent="0.35">
      <c r="A4" s="42" t="str" cm="1">
        <f t="array" aca="1" ref="A4" ca="1">_xlfn.IFS(H4, "Done", B4 &gt; NOW(), "Not Released", C4 &lt; NOW(), "Overdue", TRUE, ROUND(C4 - NOW(), 1) &amp; " Days")</f>
        <v>Done</v>
      </c>
      <c r="B4" s="27">
        <v>46093</v>
      </c>
      <c r="C4" s="40">
        <v>46157</v>
      </c>
      <c r="D4" s="18" t="s">
        <v>26</v>
      </c>
      <c r="E4" s="24" t="s">
        <v>12</v>
      </c>
      <c r="F4" s="18" t="s">
        <v>130</v>
      </c>
      <c r="G4" s="24" t="s">
        <v>75</v>
      </c>
      <c r="H4" s="28" t="b">
        <v>1</v>
      </c>
      <c r="I4" s="44">
        <v>0.48499999999999999</v>
      </c>
      <c r="J4" s="41">
        <v>0.66</v>
      </c>
      <c r="K4" s="45">
        <f t="shared" si="0"/>
        <v>0.3201</v>
      </c>
      <c r="N4" s="29"/>
      <c r="O4" s="30"/>
      <c r="P4" s="31"/>
      <c r="Q4" s="31"/>
      <c r="R4" s="32"/>
      <c r="S4" s="31"/>
      <c r="T4" s="30"/>
      <c r="U4" s="30"/>
      <c r="V4" s="38"/>
      <c r="W4" s="30"/>
      <c r="X4" s="30"/>
      <c r="Y4" s="33"/>
      <c r="Z4" s="33"/>
    </row>
    <row r="5" spans="1:26" x14ac:dyDescent="0.35">
      <c r="A5" s="42" t="str" cm="1">
        <f t="array" aca="1" ref="A5" ca="1">_xlfn.IFS(H5, "Done", B5 &gt; NOW(), "Not Released", C5 &lt; NOW(), "Overdue", TRUE, ROUND(C5 - NOW(), 1) &amp; " Days")</f>
        <v>Done</v>
      </c>
      <c r="B5" s="27">
        <v>46093</v>
      </c>
      <c r="C5" s="40">
        <v>46155</v>
      </c>
      <c r="D5" s="18" t="s">
        <v>23</v>
      </c>
      <c r="E5" s="24" t="s">
        <v>8</v>
      </c>
      <c r="F5" s="18" t="s">
        <v>130</v>
      </c>
      <c r="G5" s="24" t="s">
        <v>75</v>
      </c>
      <c r="H5" s="28" t="b">
        <v>1</v>
      </c>
      <c r="I5" s="44"/>
      <c r="J5" s="41">
        <v>0.66</v>
      </c>
      <c r="K5" s="45">
        <f t="shared" si="0"/>
        <v>0</v>
      </c>
      <c r="N5" s="29"/>
      <c r="O5" s="30"/>
      <c r="P5" s="31"/>
      <c r="Q5" s="31"/>
      <c r="R5" s="32"/>
      <c r="S5" s="31"/>
      <c r="T5" s="30"/>
      <c r="U5" s="30"/>
      <c r="V5" s="38"/>
      <c r="W5" s="30"/>
      <c r="X5" s="30"/>
      <c r="Y5" s="33"/>
      <c r="Z5" s="33"/>
    </row>
    <row r="6" spans="1:26" x14ac:dyDescent="0.35">
      <c r="A6" s="42" t="str" cm="1">
        <f t="array" aca="1" ref="A6" ca="1">_xlfn.IFS(H6, "Done", B6 &gt; NOW(), "Not Released", C6 &lt; NOW(), "Overdue", TRUE, ROUND(C6 - NOW(), 1) &amp; " Days")</f>
        <v>Done</v>
      </c>
      <c r="B6" s="27">
        <v>46059</v>
      </c>
      <c r="C6" s="40">
        <v>46142</v>
      </c>
      <c r="D6" s="18" t="s">
        <v>22</v>
      </c>
      <c r="E6" s="24" t="s">
        <v>5</v>
      </c>
      <c r="F6" s="18" t="s">
        <v>92</v>
      </c>
      <c r="G6" s="24" t="s">
        <v>73</v>
      </c>
      <c r="H6" s="28" t="b">
        <v>1</v>
      </c>
      <c r="I6" s="44">
        <v>0.71</v>
      </c>
      <c r="J6" s="41">
        <v>0.5</v>
      </c>
      <c r="K6" s="45">
        <f t="shared" si="0"/>
        <v>0.35499999999999998</v>
      </c>
      <c r="N6" s="29"/>
      <c r="O6" s="30"/>
      <c r="P6" s="31"/>
      <c r="Q6" s="31"/>
      <c r="R6" s="32"/>
      <c r="S6" s="31"/>
      <c r="T6" s="30"/>
      <c r="U6" s="30"/>
      <c r="V6" s="38"/>
      <c r="W6" s="30"/>
      <c r="X6" s="30"/>
      <c r="Y6" s="33"/>
      <c r="Z6" s="33"/>
    </row>
    <row r="7" spans="1:26" x14ac:dyDescent="0.35">
      <c r="A7" s="42" t="str" cm="1">
        <f t="array" aca="1" ref="A7" ca="1">_xlfn.IFS(H7, "Done", B7 &gt; NOW(), "Not Released", C7 &lt; NOW(), "Overdue", TRUE, ROUND(C7 - NOW(), 1) &amp; " Days")</f>
        <v>Done</v>
      </c>
      <c r="B7" s="27">
        <v>46066</v>
      </c>
      <c r="C7" s="40">
        <v>46105</v>
      </c>
      <c r="D7" s="18" t="s">
        <v>25</v>
      </c>
      <c r="E7" s="24" t="s">
        <v>11</v>
      </c>
      <c r="F7" s="18" t="s">
        <v>93</v>
      </c>
      <c r="G7" s="24" t="s">
        <v>73</v>
      </c>
      <c r="H7" s="28" t="b">
        <v>1</v>
      </c>
      <c r="I7" s="44">
        <f>(72-48)/(100-66)</f>
        <v>0.70588235294117652</v>
      </c>
      <c r="J7" s="41">
        <f>40/300</f>
        <v>0.13333333333333333</v>
      </c>
      <c r="K7" s="45">
        <f t="shared" si="0"/>
        <v>9.4117647058823528E-2</v>
      </c>
      <c r="N7" s="34"/>
      <c r="O7" s="3"/>
      <c r="P7" s="35"/>
      <c r="Q7" s="35"/>
      <c r="R7" s="36"/>
      <c r="S7" s="35"/>
      <c r="T7" s="3"/>
      <c r="U7" s="3"/>
      <c r="V7" s="3"/>
      <c r="W7" s="3"/>
      <c r="X7" s="3"/>
      <c r="Y7" s="37"/>
      <c r="Z7" s="37"/>
    </row>
    <row r="8" spans="1:26" x14ac:dyDescent="0.35">
      <c r="A8" s="42" t="str" cm="1">
        <f t="array" aca="1" ref="A8" ca="1">_xlfn.IFS(H8, "Done", B8 &gt; NOW(), "Not Released", C8 &lt; NOW(), "Overdue", TRUE, ROUND(C8 - NOW(), 1) &amp; " Days")</f>
        <v>Done</v>
      </c>
      <c r="B8" s="27">
        <v>46059</v>
      </c>
      <c r="C8" s="40">
        <v>46101</v>
      </c>
      <c r="D8" s="18" t="s">
        <v>114</v>
      </c>
      <c r="E8" s="24" t="s">
        <v>13</v>
      </c>
      <c r="F8" s="18" t="s">
        <v>125</v>
      </c>
      <c r="G8" s="24" t="s">
        <v>73</v>
      </c>
      <c r="H8" s="28" t="b">
        <v>1</v>
      </c>
      <c r="I8" s="44">
        <v>0.55000000000000004</v>
      </c>
      <c r="J8" s="41">
        <v>0.2</v>
      </c>
      <c r="K8" s="45">
        <f t="shared" si="0"/>
        <v>0.11000000000000001</v>
      </c>
      <c r="N8" s="29"/>
      <c r="O8" s="30"/>
      <c r="P8" s="31"/>
      <c r="Q8" s="31"/>
      <c r="R8" s="32"/>
      <c r="S8" s="31"/>
      <c r="T8" s="30"/>
      <c r="U8" s="30"/>
      <c r="V8" s="30"/>
      <c r="W8" s="30"/>
      <c r="X8" s="30"/>
      <c r="Y8" s="33"/>
      <c r="Z8" s="33"/>
    </row>
    <row r="9" spans="1:26" x14ac:dyDescent="0.35">
      <c r="A9" s="42" t="str" cm="1">
        <f t="array" aca="1" ref="A9" ca="1">_xlfn.IFS(H9, "Done", B9 &gt; NOW(), "Not Released", C9 &lt; NOW(), "Overdue", TRUE, ROUND(C9 - NOW(), 1) &amp; " Days")</f>
        <v>Done</v>
      </c>
      <c r="B9" s="27">
        <v>46091</v>
      </c>
      <c r="C9" s="40">
        <v>46098</v>
      </c>
      <c r="D9" s="18" t="s">
        <v>25</v>
      </c>
      <c r="E9" s="24" t="s">
        <v>11</v>
      </c>
      <c r="F9" s="18" t="s">
        <v>127</v>
      </c>
      <c r="G9" s="24" t="s">
        <v>75</v>
      </c>
      <c r="H9" s="28" t="b">
        <v>1</v>
      </c>
      <c r="I9" s="44">
        <f>48/66</f>
        <v>0.72727272727272729</v>
      </c>
      <c r="J9" s="41">
        <f>40/150</f>
        <v>0.26666666666666666</v>
      </c>
      <c r="K9" s="45">
        <f t="shared" si="0"/>
        <v>0.19393939393939394</v>
      </c>
      <c r="N9" s="34"/>
      <c r="O9" s="3"/>
      <c r="P9" s="35"/>
      <c r="Q9" s="35"/>
      <c r="R9" s="36"/>
      <c r="S9" s="35"/>
      <c r="T9" s="3"/>
      <c r="U9" s="3"/>
      <c r="V9" s="3"/>
      <c r="W9" s="3"/>
      <c r="X9" s="3"/>
      <c r="Y9" s="37"/>
      <c r="Z9" s="37"/>
    </row>
    <row r="10" spans="1:26" x14ac:dyDescent="0.35">
      <c r="A10" s="42" t="str" cm="1">
        <f t="array" aca="1" ref="A10" ca="1">_xlfn.IFS(H10, "Done", B10 &gt; NOW(), "Not Released", C10 &lt; NOW(), "Overdue", TRUE, ROUND(C10 - NOW(), 1) &amp; " Days")</f>
        <v>Done</v>
      </c>
      <c r="B10" s="27">
        <v>46059</v>
      </c>
      <c r="C10" s="40">
        <v>46092</v>
      </c>
      <c r="D10" s="18" t="s">
        <v>114</v>
      </c>
      <c r="E10" s="24" t="s">
        <v>13</v>
      </c>
      <c r="F10" s="18" t="s">
        <v>126</v>
      </c>
      <c r="G10" s="24" t="s">
        <v>73</v>
      </c>
      <c r="H10" s="28" t="b">
        <v>1</v>
      </c>
      <c r="I10" s="44">
        <v>0.55000000000000004</v>
      </c>
      <c r="J10" s="41">
        <v>0.1</v>
      </c>
      <c r="K10" s="45">
        <f t="shared" si="0"/>
        <v>5.5000000000000007E-2</v>
      </c>
      <c r="N10" s="29"/>
      <c r="O10" s="30"/>
      <c r="P10" s="31"/>
      <c r="Q10" s="31"/>
      <c r="R10" s="32"/>
      <c r="S10" s="31"/>
      <c r="T10" s="30"/>
      <c r="U10" s="30"/>
      <c r="V10" s="30"/>
      <c r="W10" s="30"/>
      <c r="X10" s="30"/>
      <c r="Y10" s="33"/>
      <c r="Z10" s="33"/>
    </row>
    <row r="11" spans="1:26" x14ac:dyDescent="0.35">
      <c r="A11" s="42" t="str" cm="1">
        <f t="array" aca="1" ref="A11" ca="1">_xlfn.IFS(H11, "Done", B11 &gt; NOW(), "Not Released", C11 &lt; NOW(), "Overdue", TRUE, ROUND(C11 - NOW(), 1) &amp; " Days")</f>
        <v>Done</v>
      </c>
      <c r="B11" s="27">
        <v>46059</v>
      </c>
      <c r="C11" s="40">
        <v>46072</v>
      </c>
      <c r="D11" s="18" t="s">
        <v>22</v>
      </c>
      <c r="E11" s="24" t="s">
        <v>5</v>
      </c>
      <c r="F11" s="18" t="s">
        <v>94</v>
      </c>
      <c r="G11" s="24" t="s">
        <v>73</v>
      </c>
      <c r="H11" s="28" t="b">
        <v>1</v>
      </c>
      <c r="I11" s="44">
        <v>1</v>
      </c>
      <c r="J11" s="41">
        <v>0.05</v>
      </c>
      <c r="K11" s="45">
        <f t="shared" si="0"/>
        <v>0.05</v>
      </c>
      <c r="N11" s="29"/>
      <c r="O11" s="30"/>
      <c r="P11" s="31"/>
      <c r="Q11" s="31"/>
      <c r="R11" s="32"/>
      <c r="S11" s="30"/>
      <c r="T11" s="30"/>
      <c r="U11" s="30"/>
      <c r="V11" s="30"/>
      <c r="W11" s="30"/>
      <c r="X11" s="30"/>
      <c r="Y11" s="33"/>
      <c r="Z11" s="33"/>
    </row>
    <row r="12" spans="1:26" x14ac:dyDescent="0.35">
      <c r="A12" s="42" t="str" cm="1">
        <f t="array" aca="1" ref="A12" ca="1">_xlfn.IFS(H12, "Done", B12 &gt; NOW(), "Not Released", C12 &lt; NOW(), "Overdue", TRUE, ROUND(C12 - NOW(), 1) &amp; " Days")</f>
        <v>Done</v>
      </c>
      <c r="B12" s="27">
        <v>45967</v>
      </c>
      <c r="C12" s="40">
        <v>46051</v>
      </c>
      <c r="D12" s="18" t="s">
        <v>22</v>
      </c>
      <c r="E12" s="24" t="s">
        <v>5</v>
      </c>
      <c r="F12" s="18" t="s">
        <v>95</v>
      </c>
      <c r="G12" s="24" t="s">
        <v>73</v>
      </c>
      <c r="H12" s="28" t="b">
        <v>1</v>
      </c>
      <c r="I12" s="44">
        <v>0.67</v>
      </c>
      <c r="J12" s="41">
        <v>0.45</v>
      </c>
      <c r="K12" s="45">
        <f t="shared" si="0"/>
        <v>0.30150000000000005</v>
      </c>
      <c r="N12" s="34"/>
      <c r="O12" s="3"/>
      <c r="P12" s="35"/>
      <c r="Q12" s="35"/>
      <c r="R12" s="36"/>
      <c r="S12" s="35"/>
      <c r="T12" s="3"/>
      <c r="U12" s="3"/>
      <c r="V12" s="3"/>
      <c r="W12" s="3"/>
      <c r="X12" s="3"/>
      <c r="Y12" s="37"/>
      <c r="Z12" s="37"/>
    </row>
    <row r="13" spans="1:26" x14ac:dyDescent="0.35">
      <c r="A13" s="42" t="str" cm="1">
        <f t="array" aca="1" ref="A13" ca="1">_xlfn.IFS(H13, "Done", B13 &gt; NOW(), "Not Released", C13 &lt; NOW(), "Overdue", TRUE, ROUND(C13 - NOW(), 1) &amp; " Days")</f>
        <v>Done</v>
      </c>
      <c r="B13" s="27">
        <v>46033</v>
      </c>
      <c r="C13" s="40">
        <v>46038</v>
      </c>
      <c r="D13" s="18" t="s">
        <v>24</v>
      </c>
      <c r="E13" s="24" t="s">
        <v>9</v>
      </c>
      <c r="F13" s="18" t="s">
        <v>131</v>
      </c>
      <c r="G13" s="24" t="s">
        <v>75</v>
      </c>
      <c r="H13" s="28" t="b">
        <v>1</v>
      </c>
      <c r="I13" s="44">
        <v>0.72499999999999998</v>
      </c>
      <c r="J13" s="41">
        <v>0.34</v>
      </c>
      <c r="K13" s="45">
        <f t="shared" si="0"/>
        <v>0.2465</v>
      </c>
      <c r="N13" s="29"/>
      <c r="O13" s="30"/>
      <c r="P13" s="31"/>
      <c r="Q13" s="31"/>
      <c r="R13" s="32"/>
      <c r="S13" s="31"/>
      <c r="T13" s="30"/>
      <c r="U13" s="30"/>
      <c r="V13" s="30"/>
      <c r="W13" s="30"/>
      <c r="X13" s="30"/>
      <c r="Y13" s="33"/>
      <c r="Z13" s="33"/>
    </row>
    <row r="14" spans="1:26" x14ac:dyDescent="0.35">
      <c r="A14" s="42" t="str" cm="1">
        <f t="array" aca="1" ref="A14" ca="1">_xlfn.IFS(H14, "Done", B14 &gt; NOW(), "Not Released", C14 &lt; NOW(), "Overdue", TRUE, ROUND(C14 - NOW(), 1) &amp; " Days")</f>
        <v>Done</v>
      </c>
      <c r="B14" s="27">
        <v>46033</v>
      </c>
      <c r="C14" s="40">
        <v>46035</v>
      </c>
      <c r="D14" s="18" t="s">
        <v>25</v>
      </c>
      <c r="E14" s="24" t="s">
        <v>11</v>
      </c>
      <c r="F14" s="18" t="s">
        <v>96</v>
      </c>
      <c r="G14" s="24" t="s">
        <v>75</v>
      </c>
      <c r="H14" s="28" t="b">
        <v>1</v>
      </c>
      <c r="I14" s="44">
        <v>0.66</v>
      </c>
      <c r="J14" s="41">
        <v>0.4</v>
      </c>
      <c r="K14" s="45">
        <f t="shared" si="0"/>
        <v>0.26400000000000001</v>
      </c>
      <c r="N14" s="34"/>
      <c r="O14" s="3"/>
      <c r="P14" s="35"/>
      <c r="Q14" s="35"/>
      <c r="R14" s="36"/>
      <c r="S14" s="35"/>
      <c r="T14" s="3"/>
      <c r="U14" s="3"/>
      <c r="V14" s="3"/>
      <c r="W14" s="3"/>
      <c r="X14" s="3"/>
      <c r="Y14" s="37"/>
      <c r="Z14" s="37"/>
    </row>
    <row r="15" spans="1:26" x14ac:dyDescent="0.35">
      <c r="A15" s="42" t="str" cm="1">
        <f t="array" aca="1" ref="A15" ca="1">_xlfn.IFS(H15, "Done", B15 &gt; NOW(), "Not Released", C15 &lt; NOW(), "Overdue", TRUE, ROUND(C15 - NOW(), 1) &amp; " Days")</f>
        <v>Done</v>
      </c>
      <c r="B15" s="27">
        <v>45961</v>
      </c>
      <c r="C15" s="40">
        <v>46009</v>
      </c>
      <c r="D15" s="18" t="s">
        <v>23</v>
      </c>
      <c r="E15" s="24" t="s">
        <v>8</v>
      </c>
      <c r="F15" s="18" t="s">
        <v>97</v>
      </c>
      <c r="G15" s="24" t="s">
        <v>73</v>
      </c>
      <c r="H15" s="28" t="b">
        <v>1</v>
      </c>
      <c r="I15" s="44">
        <v>0.75</v>
      </c>
      <c r="J15" s="41">
        <v>0.33999999999999997</v>
      </c>
      <c r="K15" s="45">
        <f t="shared" si="0"/>
        <v>0.255</v>
      </c>
      <c r="N15" s="29"/>
      <c r="O15" s="30"/>
      <c r="P15" s="31"/>
      <c r="Q15" s="31"/>
      <c r="R15" s="32"/>
      <c r="S15" s="31"/>
      <c r="T15" s="30"/>
      <c r="U15" s="30"/>
      <c r="V15" s="30"/>
      <c r="W15" s="30"/>
      <c r="X15" s="30"/>
      <c r="Y15" s="33"/>
      <c r="Z15" s="33"/>
    </row>
    <row r="16" spans="1:26" x14ac:dyDescent="0.35">
      <c r="A16" s="42" t="str" cm="1">
        <f t="array" aca="1" ref="A16" ca="1">_xlfn.IFS(H16, "Done", B16 &gt; NOW(), "Not Released", C16 &lt; NOW(), "Overdue", TRUE, ROUND(C16 - NOW(), 1) &amp; " Days")</f>
        <v>Done</v>
      </c>
      <c r="B16" s="27">
        <v>45960</v>
      </c>
      <c r="C16" s="40">
        <v>46003</v>
      </c>
      <c r="D16" s="18" t="s">
        <v>25</v>
      </c>
      <c r="E16" s="24" t="s">
        <v>11</v>
      </c>
      <c r="F16" s="18" t="s">
        <v>98</v>
      </c>
      <c r="G16" s="24" t="s">
        <v>73</v>
      </c>
      <c r="H16" s="28" t="b">
        <v>1</v>
      </c>
      <c r="I16" s="44">
        <v>0.81</v>
      </c>
      <c r="J16" s="41">
        <v>0.2</v>
      </c>
      <c r="K16" s="45">
        <f t="shared" si="0"/>
        <v>0.16200000000000003</v>
      </c>
      <c r="N16" s="34"/>
      <c r="O16" s="3"/>
      <c r="P16" s="35"/>
      <c r="Q16" s="35"/>
      <c r="R16" s="36"/>
      <c r="S16" s="35"/>
      <c r="T16" s="3"/>
      <c r="U16" s="3"/>
      <c r="V16" s="3"/>
      <c r="W16" s="3"/>
      <c r="X16" s="3"/>
      <c r="Y16" s="37"/>
      <c r="Z16" s="37"/>
    </row>
    <row r="17" spans="1:26" x14ac:dyDescent="0.35">
      <c r="A17" s="42" t="str" cm="1">
        <f t="array" aca="1" ref="A17" ca="1">_xlfn.IFS(H17, "Done", B17 &gt; NOW(), "Not Released", C17 &lt; NOW(), "Overdue", TRUE, ROUND(C17 - NOW(), 1) &amp; " Days")</f>
        <v>Done</v>
      </c>
      <c r="B17" s="27">
        <v>45961</v>
      </c>
      <c r="C17" s="40">
        <v>45995</v>
      </c>
      <c r="D17" s="18" t="s">
        <v>26</v>
      </c>
      <c r="E17" s="24" t="s">
        <v>12</v>
      </c>
      <c r="F17" s="18" t="s">
        <v>99</v>
      </c>
      <c r="G17" s="24" t="s">
        <v>73</v>
      </c>
      <c r="H17" s="28" t="b">
        <v>1</v>
      </c>
      <c r="I17" s="44">
        <v>0.79</v>
      </c>
      <c r="J17" s="41">
        <v>0.16999999999999998</v>
      </c>
      <c r="K17" s="45">
        <f t="shared" si="0"/>
        <v>0.1343</v>
      </c>
      <c r="N17" s="29"/>
      <c r="O17" s="30"/>
      <c r="P17" s="31"/>
      <c r="Q17" s="31"/>
      <c r="R17" s="32"/>
      <c r="S17" s="31"/>
      <c r="T17" s="30"/>
      <c r="U17" s="30"/>
      <c r="V17" s="30"/>
      <c r="W17" s="30"/>
      <c r="X17" s="30"/>
      <c r="Y17" s="33"/>
      <c r="Z17" s="33"/>
    </row>
    <row r="18" spans="1:26" x14ac:dyDescent="0.35">
      <c r="A18" s="42" t="str" cm="1">
        <f t="array" aca="1" ref="A18" ca="1">_xlfn.IFS(H18, "Done", B18 &gt; NOW(), "Not Released", C18 &lt; NOW(), "Overdue", TRUE, ROUND(C18 - NOW(), 1) &amp; " Days")</f>
        <v>Done</v>
      </c>
      <c r="B18" s="27">
        <v>45968</v>
      </c>
      <c r="C18" s="40">
        <v>45975</v>
      </c>
      <c r="D18" s="18" t="s">
        <v>26</v>
      </c>
      <c r="E18" s="24" t="s">
        <v>12</v>
      </c>
      <c r="F18" s="18" t="s">
        <v>100</v>
      </c>
      <c r="G18" s="24" t="s">
        <v>75</v>
      </c>
      <c r="H18" s="28" t="b">
        <v>1</v>
      </c>
      <c r="I18" s="44">
        <v>0.875</v>
      </c>
      <c r="J18" s="41">
        <v>0.17</v>
      </c>
      <c r="K18" s="45">
        <f t="shared" si="0"/>
        <v>0.14875000000000002</v>
      </c>
      <c r="N18" s="34"/>
      <c r="O18" s="3"/>
      <c r="P18" s="35"/>
      <c r="Q18" s="35"/>
      <c r="R18" s="36"/>
      <c r="S18" s="35"/>
      <c r="T18" s="3"/>
      <c r="U18" s="3"/>
      <c r="V18" s="3"/>
      <c r="W18" s="3"/>
      <c r="X18" s="3"/>
      <c r="Y18" s="37"/>
      <c r="Z18" s="37"/>
    </row>
    <row r="19" spans="1:26" x14ac:dyDescent="0.35">
      <c r="A19" s="42"/>
      <c r="B19" s="27"/>
      <c r="C19" s="40"/>
      <c r="E19" s="24"/>
      <c r="G19" s="24"/>
      <c r="H19" s="28" t="b">
        <v>0</v>
      </c>
      <c r="I19" s="44"/>
      <c r="J19" s="41"/>
      <c r="K19" s="45"/>
      <c r="N19" s="29"/>
      <c r="O19" s="30"/>
      <c r="P19" s="31"/>
      <c r="Q19" s="31"/>
      <c r="R19" s="32"/>
      <c r="S19" s="31"/>
      <c r="T19" s="30"/>
      <c r="U19" s="30"/>
      <c r="V19" s="30"/>
      <c r="W19" s="30"/>
      <c r="X19" s="30"/>
      <c r="Y19" s="33"/>
      <c r="Z19" s="33"/>
    </row>
    <row r="20" spans="1:26" x14ac:dyDescent="0.35">
      <c r="A20" s="42"/>
      <c r="B20" s="27"/>
      <c r="C20" s="40"/>
      <c r="E20" s="24"/>
      <c r="G20" s="24"/>
      <c r="H20" s="28" t="b">
        <v>0</v>
      </c>
      <c r="I20" s="44"/>
      <c r="J20" s="41"/>
      <c r="K20" s="45"/>
      <c r="N20" s="34"/>
      <c r="O20" s="3"/>
      <c r="P20" s="35"/>
      <c r="Q20" s="35"/>
      <c r="R20" s="36"/>
      <c r="S20" s="35"/>
      <c r="T20" s="3"/>
      <c r="U20" s="3"/>
      <c r="V20" s="3"/>
      <c r="W20" s="3"/>
      <c r="X20" s="3"/>
      <c r="Y20" s="37"/>
      <c r="Z20" s="37"/>
    </row>
  </sheetData>
  <sortState xmlns:xlrd2="http://schemas.microsoft.com/office/spreadsheetml/2017/richdata2" ref="A2:K20">
    <sortCondition descending="1" ref="C2:C20"/>
  </sortState>
  <conditionalFormatting sqref="A2:A1048576">
    <cfRule type="cellIs" dxfId="5" priority="1" operator="equal">
      <formula>"Not Released"</formula>
    </cfRule>
    <cfRule type="cellIs" dxfId="4" priority="2" operator="equal">
      <formula>"Overdue"</formula>
    </cfRule>
    <cfRule type="cellIs" dxfId="3" priority="3" operator="equal">
      <formula>"Done"</formula>
    </cfRule>
  </conditionalFormatting>
  <conditionalFormatting sqref="G2:G1048576">
    <cfRule type="cellIs" dxfId="2" priority="4" operator="equal">
      <formula>"Coursework"</formula>
    </cfRule>
    <cfRule type="cellIs" dxfId="1" priority="5" operator="equal">
      <formula>"Exam"</formula>
    </cfRule>
    <cfRule type="cellIs" dxfId="0" priority="6" operator="equal">
      <formula>"Homework"</formula>
    </cfRule>
  </conditionalFormatting>
  <dataValidations count="3">
    <dataValidation type="list" allowBlank="1" showInputMessage="1" showErrorMessage="1" sqref="G2:G1048576" xr:uid="{1E81A611-88C7-40B0-BBBD-387904BC861F}">
      <formula1>"Exam, Coursework, Homework"</formula1>
    </dataValidation>
    <dataValidation type="list" allowBlank="1" showInputMessage="1" showErrorMessage="1" sqref="N3:N20" xr:uid="{B6C79BD4-7E47-49A5-8ECD-17D4F5FE95C0}">
      <formula1>"Algorithms and Data Structures, Computational Thinking, Computer Systems, Discrete Mathematics, Mathematics for Computer Science, Programming (Black)"</formula1>
    </dataValidation>
    <dataValidation type="list" allowBlank="1" showInputMessage="1" showErrorMessage="1" sqref="T3:T20" xr:uid="{E874C27B-2FD1-474D-8CC8-E340C89B2710}">
      <formula1>"Coursework, Exam, Homework"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1510-10CC-4FCA-AA0B-15AE3A8FF89E}">
  <dimension ref="B2:AG46"/>
  <sheetViews>
    <sheetView topLeftCell="A28" zoomScale="80" workbookViewId="0">
      <selection activeCell="H47" sqref="H47"/>
    </sheetView>
  </sheetViews>
  <sheetFormatPr defaultRowHeight="14.5" x14ac:dyDescent="0.35"/>
  <cols>
    <col min="2" max="2" width="30.36328125" bestFit="1" customWidth="1"/>
    <col min="3" max="3" width="14" bestFit="1" customWidth="1"/>
    <col min="4" max="4" width="13.26953125" bestFit="1" customWidth="1"/>
    <col min="5" max="5" width="22.08984375" bestFit="1" customWidth="1"/>
    <col min="6" max="7" width="11.1796875" bestFit="1" customWidth="1"/>
    <col min="8" max="9" width="12.54296875" bestFit="1" customWidth="1"/>
    <col min="10" max="10" width="30.36328125" bestFit="1" customWidth="1"/>
    <col min="12" max="12" width="11.54296875" bestFit="1" customWidth="1"/>
    <col min="13" max="13" width="11.81640625" bestFit="1" customWidth="1"/>
    <col min="14" max="14" width="12.26953125" bestFit="1" customWidth="1"/>
    <col min="15" max="15" width="8.08984375" bestFit="1" customWidth="1"/>
    <col min="16" max="16" width="12.81640625" bestFit="1" customWidth="1"/>
    <col min="33" max="33" width="12.90625" bestFit="1" customWidth="1"/>
  </cols>
  <sheetData>
    <row r="2" spans="2:33" x14ac:dyDescent="0.35">
      <c r="B2" s="1" t="s">
        <v>40</v>
      </c>
    </row>
    <row r="3" spans="2:33" x14ac:dyDescent="0.35">
      <c r="B3" s="1"/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47</v>
      </c>
      <c r="N3" t="s">
        <v>48</v>
      </c>
      <c r="O3" t="s">
        <v>49</v>
      </c>
      <c r="P3" t="s">
        <v>50</v>
      </c>
      <c r="Q3" t="s">
        <v>43</v>
      </c>
      <c r="R3" t="s">
        <v>51</v>
      </c>
      <c r="S3" t="s">
        <v>52</v>
      </c>
      <c r="T3" t="s">
        <v>53</v>
      </c>
      <c r="U3" t="s">
        <v>54</v>
      </c>
      <c r="V3" t="s">
        <v>44</v>
      </c>
      <c r="W3" t="s">
        <v>55</v>
      </c>
      <c r="X3" t="s">
        <v>56</v>
      </c>
      <c r="Y3" t="s">
        <v>57</v>
      </c>
      <c r="Z3" t="s">
        <v>58</v>
      </c>
      <c r="AA3" t="s">
        <v>45</v>
      </c>
      <c r="AB3" t="s">
        <v>59</v>
      </c>
      <c r="AC3" t="s">
        <v>60</v>
      </c>
      <c r="AD3" t="s">
        <v>61</v>
      </c>
      <c r="AE3" t="s">
        <v>62</v>
      </c>
      <c r="AF3" t="s">
        <v>46</v>
      </c>
      <c r="AG3" s="1" t="s">
        <v>120</v>
      </c>
    </row>
    <row r="4" spans="2:33" x14ac:dyDescent="0.35">
      <c r="B4" t="s">
        <v>17</v>
      </c>
      <c r="C4">
        <f>COUNTIFS('Attendence Tracker'!$A$2:$A$1002, $B4, 'Attendence Tracker'!F$2:F$1002, "Attended")</f>
        <v>0</v>
      </c>
      <c r="D4">
        <f>COUNTIFS('Attendence Tracker'!$A$2:$A$1002, $B4, 'Attendence Tracker'!G$2:G$1002, "Attended")</f>
        <v>4</v>
      </c>
      <c r="E4">
        <f>COUNTIFS('Attendence Tracker'!$A$2:$A$1002, $B4, 'Attendence Tracker'!H$2:H$1002, "Attended")</f>
        <v>2</v>
      </c>
      <c r="F4">
        <f>COUNTIFS('Attendence Tracker'!$A$2:$A$1002, $B4, 'Attendence Tracker'!I$2:I$1002, "Attended")</f>
        <v>0</v>
      </c>
      <c r="G4">
        <f>COUNTIFS('Attendence Tracker'!$A$2:$A$1002, $B4, 'Attendence Tracker'!J$2:J$1002, "Attended")</f>
        <v>2</v>
      </c>
      <c r="H4">
        <f>COUNTIFS('Attendence Tracker'!$A$2:$A$1002, $B4, 'Attendence Tracker'!K$2:K$1002, "Attended")</f>
        <v>2</v>
      </c>
      <c r="I4">
        <f>COUNTIFS('Attendence Tracker'!$A$2:$A$1002, $B4, 'Attendence Tracker'!L$2:L$1002, "Attended")</f>
        <v>3</v>
      </c>
      <c r="J4">
        <f>COUNTIFS('Attendence Tracker'!$A$2:$A$1002, $B4, 'Attendence Tracker'!M$2:M$1002, "Attended")</f>
        <v>0</v>
      </c>
      <c r="K4">
        <f>COUNTIFS('Attendence Tracker'!$A$2:$A$1002, $B4, 'Attendence Tracker'!N$2:N$1002, "Attended")</f>
        <v>2</v>
      </c>
      <c r="L4">
        <f>COUNTIFS('Attendence Tracker'!$A$2:$A$1002, $B4, 'Attendence Tracker'!O$2:O$1002, "Attended")</f>
        <v>2</v>
      </c>
      <c r="M4">
        <f>COUNTIFS('Attendence Tracker'!$A$2:$A$1002, $B4, 'Attendence Tracker'!P$2:P$1002, "Attended")</f>
        <v>3</v>
      </c>
      <c r="N4">
        <f>COUNTIFS('Attendence Tracker'!$A$2:$A$1002, $B4, 'Attendence Tracker'!Q$2:Q$1002, "Attended")</f>
        <v>2</v>
      </c>
      <c r="O4">
        <f>COUNTIFS('Attendence Tracker'!$A$2:$A$1002, $B4, 'Attendence Tracker'!R$2:R$1002, "Attended")</f>
        <v>1</v>
      </c>
      <c r="P4">
        <f>COUNTIFS('Attendence Tracker'!$A$2:$A$1002, $B4, 'Attendence Tracker'!S$2:S$1002, "Attended")</f>
        <v>2</v>
      </c>
      <c r="Q4">
        <f>COUNTIFS('Attendence Tracker'!$A$2:$A$1002, $B4, 'Attendence Tracker'!T$2:T$1002, "Attended")</f>
        <v>1</v>
      </c>
      <c r="R4">
        <f>COUNTIFS('Attendence Tracker'!$A$2:$A$1002, $B4, 'Attendence Tracker'!U$2:U$1002, "Attended")</f>
        <v>0</v>
      </c>
      <c r="S4">
        <f>COUNTIFS('Attendence Tracker'!$A$2:$A$1002, $B4, 'Attendence Tracker'!V$2:V$1002, "Attended")</f>
        <v>1</v>
      </c>
      <c r="T4">
        <f>COUNTIFS('Attendence Tracker'!$A$2:$A$1002, $B4, 'Attendence Tracker'!W$2:W$1002, "Attended")</f>
        <v>1</v>
      </c>
      <c r="U4">
        <f>COUNTIFS('Attendence Tracker'!$A$2:$A$1002, $B4, 'Attendence Tracker'!X$2:X$1002, "Attended")</f>
        <v>1</v>
      </c>
      <c r="V4">
        <f>COUNTIFS('Attendence Tracker'!$A$2:$A$1002, $B4, 'Attendence Tracker'!Y$2:Y$1002, "Attended")</f>
        <v>0</v>
      </c>
      <c r="W4">
        <f>COUNTIFS('Attendence Tracker'!$A$2:$A$1002, $B4, 'Attendence Tracker'!Z$2:Z$1002, "Attended")</f>
        <v>0</v>
      </c>
      <c r="X4">
        <f>COUNTIFS('Attendence Tracker'!$A$2:$A$1002, $B4, 'Attendence Tracker'!AA$2:AA$1002, "Attended")</f>
        <v>0</v>
      </c>
      <c r="Y4">
        <f>COUNTIFS('Attendence Tracker'!$A$2:$A$1002, $B4, 'Attendence Tracker'!AB$2:AB$1002, "Attended")</f>
        <v>0</v>
      </c>
      <c r="Z4">
        <f>COUNTIFS('Attendence Tracker'!$A$2:$A$1002, $B4, 'Attendence Tracker'!AC$2:AC$1002, "Attended")</f>
        <v>0</v>
      </c>
      <c r="AA4">
        <f>COUNTIFS('Attendence Tracker'!$A$2:$A$1002, $B4, 'Attendence Tracker'!AD$2:AD$1002, "Attended")</f>
        <v>0</v>
      </c>
      <c r="AB4">
        <f>COUNTIFS('Attendence Tracker'!$A$2:$A$1002, $B4, 'Attendence Tracker'!AE$2:AE$1002, "Attended")</f>
        <v>0</v>
      </c>
      <c r="AC4">
        <f>COUNTIFS('Attendence Tracker'!$A$2:$A$1002, $B4, 'Attendence Tracker'!AF$2:AF$1002, "Attended")</f>
        <v>0</v>
      </c>
      <c r="AD4">
        <f>COUNTIFS('Attendence Tracker'!$A$2:$A$1002, $B4, 'Attendence Tracker'!AG$2:AG$1002, "Attended")</f>
        <v>0</v>
      </c>
      <c r="AE4">
        <f>COUNTIFS('Attendence Tracker'!$A$2:$A$1002, $B4, 'Attendence Tracker'!AH$2:AH$1002, "Attended")</f>
        <v>0</v>
      </c>
      <c r="AF4">
        <f>COUNTIFS('Attendence Tracker'!$A$2:$A$1002, $B4, 'Attendence Tracker'!AI$2:AI$1002, "Attended")</f>
        <v>0</v>
      </c>
      <c r="AG4">
        <f>SUM(C4:AF4)</f>
        <v>29</v>
      </c>
    </row>
    <row r="5" spans="2:33" x14ac:dyDescent="0.35">
      <c r="B5" t="s">
        <v>18</v>
      </c>
      <c r="C5">
        <f>COUNTIFS('Attendence Tracker'!$A$2:$A$1002, $B5, 'Attendence Tracker'!F$2:F$1002, "Attended")</f>
        <v>0</v>
      </c>
      <c r="D5">
        <f>COUNTIFS('Attendence Tracker'!$A$2:$A$1002, $B5, 'Attendence Tracker'!G$2:G$1002, "Attended")</f>
        <v>3</v>
      </c>
      <c r="E5">
        <f>COUNTIFS('Attendence Tracker'!$A$2:$A$1002, $B5, 'Attendence Tracker'!H$2:H$1002, "Attended")</f>
        <v>1</v>
      </c>
      <c r="F5">
        <f>COUNTIFS('Attendence Tracker'!$A$2:$A$1002, $B5, 'Attendence Tracker'!I$2:I$1002, "Attended")</f>
        <v>0</v>
      </c>
      <c r="G5">
        <f>COUNTIFS('Attendence Tracker'!$A$2:$A$1002, $B5, 'Attendence Tracker'!J$2:J$1002, "Attended")</f>
        <v>2</v>
      </c>
      <c r="H5">
        <f>COUNTIFS('Attendence Tracker'!$A$2:$A$1002, $B5, 'Attendence Tracker'!K$2:K$1002, "Attended")</f>
        <v>1</v>
      </c>
      <c r="I5">
        <f>COUNTIFS('Attendence Tracker'!$A$2:$A$1002, $B5, 'Attendence Tracker'!L$2:L$1002, "Attended")</f>
        <v>1</v>
      </c>
      <c r="J5">
        <f>COUNTIFS('Attendence Tracker'!$A$2:$A$1002, $B5, 'Attendence Tracker'!M$2:M$1002, "Attended")</f>
        <v>1</v>
      </c>
      <c r="K5">
        <f>COUNTIFS('Attendence Tracker'!$A$2:$A$1002, $B5, 'Attendence Tracker'!N$2:N$1002, "Attended")</f>
        <v>1</v>
      </c>
      <c r="L5">
        <f>COUNTIFS('Attendence Tracker'!$A$2:$A$1002, $B5, 'Attendence Tracker'!O$2:O$1002, "Attended")</f>
        <v>0</v>
      </c>
      <c r="M5">
        <f>COUNTIFS('Attendence Tracker'!$A$2:$A$1002, $B5, 'Attendence Tracker'!P$2:P$1002, "Attended")</f>
        <v>3</v>
      </c>
      <c r="N5">
        <f>COUNTIFS('Attendence Tracker'!$A$2:$A$1002, $B5, 'Attendence Tracker'!Q$2:Q$1002, "Attended")</f>
        <v>2</v>
      </c>
      <c r="O5">
        <f>COUNTIFS('Attendence Tracker'!$A$2:$A$1002, $B5, 'Attendence Tracker'!R$2:R$1002, "Attended")</f>
        <v>1</v>
      </c>
      <c r="P5">
        <f>COUNTIFS('Attendence Tracker'!$A$2:$A$1002, $B5, 'Attendence Tracker'!S$2:S$1002, "Attended")</f>
        <v>2</v>
      </c>
      <c r="Q5">
        <f>COUNTIFS('Attendence Tracker'!$A$2:$A$1002, $B5, 'Attendence Tracker'!T$2:T$1002, "Attended")</f>
        <v>1</v>
      </c>
      <c r="R5">
        <f>COUNTIFS('Attendence Tracker'!$A$2:$A$1002, $B5, 'Attendence Tracker'!U$2:U$1002, "Attended")</f>
        <v>0</v>
      </c>
      <c r="S5">
        <f>COUNTIFS('Attendence Tracker'!$A$2:$A$1002, $B5, 'Attendence Tracker'!V$2:V$1002, "Attended")</f>
        <v>1</v>
      </c>
      <c r="T5">
        <f>COUNTIFS('Attendence Tracker'!$A$2:$A$1002, $B5, 'Attendence Tracker'!W$2:W$1002, "Attended")</f>
        <v>1</v>
      </c>
      <c r="U5">
        <f>COUNTIFS('Attendence Tracker'!$A$2:$A$1002, $B5, 'Attendence Tracker'!X$2:X$1002, "Attended")</f>
        <v>1</v>
      </c>
      <c r="V5">
        <f>COUNTIFS('Attendence Tracker'!$A$2:$A$1002, $B5, 'Attendence Tracker'!Y$2:Y$1002, "Attended")</f>
        <v>1</v>
      </c>
      <c r="W5">
        <f>COUNTIFS('Attendence Tracker'!$A$2:$A$1002, $B5, 'Attendence Tracker'!Z$2:Z$1002, "Attended")</f>
        <v>0</v>
      </c>
      <c r="X5">
        <f>COUNTIFS('Attendence Tracker'!$A$2:$A$1002, $B5, 'Attendence Tracker'!AA$2:AA$1002, "Attended")</f>
        <v>0</v>
      </c>
      <c r="Y5">
        <f>COUNTIFS('Attendence Tracker'!$A$2:$A$1002, $B5, 'Attendence Tracker'!AB$2:AB$1002, "Attended")</f>
        <v>0</v>
      </c>
      <c r="Z5">
        <f>COUNTIFS('Attendence Tracker'!$A$2:$A$1002, $B5, 'Attendence Tracker'!AC$2:AC$1002, "Attended")</f>
        <v>0</v>
      </c>
      <c r="AA5">
        <f>COUNTIFS('Attendence Tracker'!$A$2:$A$1002, $B5, 'Attendence Tracker'!AD$2:AD$1002, "Attended")</f>
        <v>0</v>
      </c>
      <c r="AB5">
        <f>COUNTIFS('Attendence Tracker'!$A$2:$A$1002, $B5, 'Attendence Tracker'!AE$2:AE$1002, "Attended")</f>
        <v>0</v>
      </c>
      <c r="AC5">
        <f>COUNTIFS('Attendence Tracker'!$A$2:$A$1002, $B5, 'Attendence Tracker'!AF$2:AF$1002, "Attended")</f>
        <v>0</v>
      </c>
      <c r="AD5">
        <f>COUNTIFS('Attendence Tracker'!$A$2:$A$1002, $B5, 'Attendence Tracker'!AG$2:AG$1002, "Attended")</f>
        <v>0</v>
      </c>
      <c r="AE5">
        <f>COUNTIFS('Attendence Tracker'!$A$2:$A$1002, $B5, 'Attendence Tracker'!AH$2:AH$1002, "Attended")</f>
        <v>0</v>
      </c>
      <c r="AF5">
        <f>COUNTIFS('Attendence Tracker'!$A$2:$A$1002, $B5, 'Attendence Tracker'!AI$2:AI$1002, "Attended")</f>
        <v>0</v>
      </c>
      <c r="AG5">
        <f t="shared" ref="AG5:AG9" si="0">SUM(C5:AF5)</f>
        <v>23</v>
      </c>
    </row>
    <row r="6" spans="2:33" x14ac:dyDescent="0.35">
      <c r="B6" t="s">
        <v>19</v>
      </c>
      <c r="C6">
        <f>COUNTIFS('Attendence Tracker'!$A$2:$A$1002, $B6, 'Attendence Tracker'!F$2:F$1002, "Attended")</f>
        <v>0</v>
      </c>
      <c r="D6">
        <f>COUNTIFS('Attendence Tracker'!$A$2:$A$1002, $B6, 'Attendence Tracker'!G$2:G$1002, "Attended")</f>
        <v>0</v>
      </c>
      <c r="E6">
        <f>COUNTIFS('Attendence Tracker'!$A$2:$A$1002, $B6, 'Attendence Tracker'!H$2:H$1002, "Attended")</f>
        <v>0</v>
      </c>
      <c r="F6">
        <f>COUNTIFS('Attendence Tracker'!$A$2:$A$1002, $B6, 'Attendence Tracker'!I$2:I$1002, "Attended")</f>
        <v>1</v>
      </c>
      <c r="G6">
        <f>COUNTIFS('Attendence Tracker'!$A$2:$A$1002, $B6, 'Attendence Tracker'!J$2:J$1002, "Attended")</f>
        <v>0</v>
      </c>
      <c r="H6">
        <f>COUNTIFS('Attendence Tracker'!$A$2:$A$1002, $B6, 'Attendence Tracker'!K$2:K$1002, "Attended")</f>
        <v>0</v>
      </c>
      <c r="I6">
        <f>COUNTIFS('Attendence Tracker'!$A$2:$A$1002, $B6, 'Attendence Tracker'!L$2:L$1002, "Attended")</f>
        <v>0</v>
      </c>
      <c r="J6">
        <f>COUNTIFS('Attendence Tracker'!$A$2:$A$1002, $B6, 'Attendence Tracker'!M$2:M$1002, "Attended")</f>
        <v>0</v>
      </c>
      <c r="K6">
        <f>COUNTIFS('Attendence Tracker'!$A$2:$A$1002, $B6, 'Attendence Tracker'!N$2:N$1002, "Attended")</f>
        <v>0</v>
      </c>
      <c r="L6">
        <f>COUNTIFS('Attendence Tracker'!$A$2:$A$1002, $B6, 'Attendence Tracker'!O$2:O$1002, "Attended")</f>
        <v>0</v>
      </c>
      <c r="M6">
        <f>COUNTIFS('Attendence Tracker'!$A$2:$A$1002, $B6, 'Attendence Tracker'!P$2:P$1002, "Attended")</f>
        <v>0</v>
      </c>
      <c r="N6">
        <f>COUNTIFS('Attendence Tracker'!$A$2:$A$1002, $B6, 'Attendence Tracker'!Q$2:Q$1002, "Attended")</f>
        <v>1</v>
      </c>
      <c r="O6">
        <f>COUNTIFS('Attendence Tracker'!$A$2:$A$1002, $B6, 'Attendence Tracker'!R$2:R$1002, "Attended")</f>
        <v>0</v>
      </c>
      <c r="P6">
        <f>COUNTIFS('Attendence Tracker'!$A$2:$A$1002, $B6, 'Attendence Tracker'!S$2:S$1002, "Attended")</f>
        <v>0</v>
      </c>
      <c r="Q6">
        <f>COUNTIFS('Attendence Tracker'!$A$2:$A$1002, $B6, 'Attendence Tracker'!T$2:T$1002, "Attended")</f>
        <v>0</v>
      </c>
      <c r="R6">
        <f>COUNTIFS('Attendence Tracker'!$A$2:$A$1002, $B6, 'Attendence Tracker'!U$2:U$1002, "Attended")</f>
        <v>0</v>
      </c>
      <c r="S6">
        <f>COUNTIFS('Attendence Tracker'!$A$2:$A$1002, $B6, 'Attendence Tracker'!V$2:V$1002, "Attended")</f>
        <v>0</v>
      </c>
      <c r="T6">
        <f>COUNTIFS('Attendence Tracker'!$A$2:$A$1002, $B6, 'Attendence Tracker'!W$2:W$1002, "Attended")</f>
        <v>0</v>
      </c>
      <c r="U6">
        <f>COUNTIFS('Attendence Tracker'!$A$2:$A$1002, $B6, 'Attendence Tracker'!X$2:X$1002, "Attended")</f>
        <v>1</v>
      </c>
      <c r="V6">
        <f>COUNTIFS('Attendence Tracker'!$A$2:$A$1002, $B6, 'Attendence Tracker'!Y$2:Y$1002, "Attended")</f>
        <v>0</v>
      </c>
      <c r="W6">
        <f>COUNTIFS('Attendence Tracker'!$A$2:$A$1002, $B6, 'Attendence Tracker'!Z$2:Z$1002, "Attended")</f>
        <v>0</v>
      </c>
      <c r="X6">
        <f>COUNTIFS('Attendence Tracker'!$A$2:$A$1002, $B6, 'Attendence Tracker'!AA$2:AA$1002, "Attended")</f>
        <v>0</v>
      </c>
      <c r="Y6">
        <f>COUNTIFS('Attendence Tracker'!$A$2:$A$1002, $B6, 'Attendence Tracker'!AB$2:AB$1002, "Attended")</f>
        <v>0</v>
      </c>
      <c r="Z6">
        <f>COUNTIFS('Attendence Tracker'!$A$2:$A$1002, $B6, 'Attendence Tracker'!AC$2:AC$1002, "Attended")</f>
        <v>0</v>
      </c>
      <c r="AA6">
        <f>COUNTIFS('Attendence Tracker'!$A$2:$A$1002, $B6, 'Attendence Tracker'!AD$2:AD$1002, "Attended")</f>
        <v>0</v>
      </c>
      <c r="AB6">
        <f>COUNTIFS('Attendence Tracker'!$A$2:$A$1002, $B6, 'Attendence Tracker'!AE$2:AE$1002, "Attended")</f>
        <v>0</v>
      </c>
      <c r="AC6">
        <f>COUNTIFS('Attendence Tracker'!$A$2:$A$1002, $B6, 'Attendence Tracker'!AF$2:AF$1002, "Attended")</f>
        <v>0</v>
      </c>
      <c r="AD6">
        <f>COUNTIFS('Attendence Tracker'!$A$2:$A$1002, $B6, 'Attendence Tracker'!AG$2:AG$1002, "Attended")</f>
        <v>0</v>
      </c>
      <c r="AE6">
        <f>COUNTIFS('Attendence Tracker'!$A$2:$A$1002, $B6, 'Attendence Tracker'!AH$2:AH$1002, "Attended")</f>
        <v>0</v>
      </c>
      <c r="AF6">
        <f>COUNTIFS('Attendence Tracker'!$A$2:$A$1002, $B6, 'Attendence Tracker'!AI$2:AI$1002, "Attended")</f>
        <v>0</v>
      </c>
      <c r="AG6">
        <f t="shared" si="0"/>
        <v>3</v>
      </c>
    </row>
    <row r="7" spans="2:33" x14ac:dyDescent="0.35">
      <c r="B7" t="s">
        <v>20</v>
      </c>
      <c r="C7">
        <f>COUNTIFS('Attendence Tracker'!$A$2:$A$1002, $B7, 'Attendence Tracker'!F$2:F$1002, "Attended")</f>
        <v>2</v>
      </c>
      <c r="D7">
        <f>COUNTIFS('Attendence Tracker'!$A$2:$A$1002, $B7, 'Attendence Tracker'!G$2:G$1002, "Attended")</f>
        <v>3</v>
      </c>
      <c r="E7">
        <f>COUNTIFS('Attendence Tracker'!$A$2:$A$1002, $B7, 'Attendence Tracker'!H$2:H$1002, "Attended")</f>
        <v>1</v>
      </c>
      <c r="F7">
        <f>COUNTIFS('Attendence Tracker'!$A$2:$A$1002, $B7, 'Attendence Tracker'!I$2:I$1002, "Attended")</f>
        <v>1</v>
      </c>
      <c r="G7">
        <f>COUNTIFS('Attendence Tracker'!$A$2:$A$1002, $B7, 'Attendence Tracker'!J$2:J$1002, "Attended")</f>
        <v>1</v>
      </c>
      <c r="H7">
        <f>COUNTIFS('Attendence Tracker'!$A$2:$A$1002, $B7, 'Attendence Tracker'!K$2:K$1002, "Attended")</f>
        <v>3</v>
      </c>
      <c r="I7">
        <f>COUNTIFS('Attendence Tracker'!$A$2:$A$1002, $B7, 'Attendence Tracker'!L$2:L$1002, "Attended")</f>
        <v>0</v>
      </c>
      <c r="J7">
        <f>COUNTIFS('Attendence Tracker'!$A$2:$A$1002, $B7, 'Attendence Tracker'!M$2:M$1002, "Attended")</f>
        <v>1</v>
      </c>
      <c r="K7">
        <f>COUNTIFS('Attendence Tracker'!$A$2:$A$1002, $B7, 'Attendence Tracker'!N$2:N$1002, "Attended")</f>
        <v>0</v>
      </c>
      <c r="L7">
        <f>COUNTIFS('Attendence Tracker'!$A$2:$A$1002, $B7, 'Attendence Tracker'!O$2:O$1002, "Attended")</f>
        <v>1</v>
      </c>
      <c r="M7">
        <f>COUNTIFS('Attendence Tracker'!$A$2:$A$1002, $B7, 'Attendence Tracker'!P$2:P$1002, "Attended")</f>
        <v>3</v>
      </c>
      <c r="N7">
        <f>COUNTIFS('Attendence Tracker'!$A$2:$A$1002, $B7, 'Attendence Tracker'!Q$2:Q$1002, "Attended")</f>
        <v>0</v>
      </c>
      <c r="O7">
        <f>COUNTIFS('Attendence Tracker'!$A$2:$A$1002, $B7, 'Attendence Tracker'!R$2:R$1002, "Attended")</f>
        <v>1</v>
      </c>
      <c r="P7">
        <f>COUNTIFS('Attendence Tracker'!$A$2:$A$1002, $B7, 'Attendence Tracker'!S$2:S$1002, "Attended")</f>
        <v>2</v>
      </c>
      <c r="Q7">
        <f>COUNTIFS('Attendence Tracker'!$A$2:$A$1002, $B7, 'Attendence Tracker'!T$2:T$1002, "Attended")</f>
        <v>0</v>
      </c>
      <c r="R7">
        <f>COUNTIFS('Attendence Tracker'!$A$2:$A$1002, $B7, 'Attendence Tracker'!U$2:U$1002, "Attended")</f>
        <v>0</v>
      </c>
      <c r="S7">
        <f>COUNTIFS('Attendence Tracker'!$A$2:$A$1002, $B7, 'Attendence Tracker'!V$2:V$1002, "Attended")</f>
        <v>1</v>
      </c>
      <c r="T7">
        <f>COUNTIFS('Attendence Tracker'!$A$2:$A$1002, $B7, 'Attendence Tracker'!W$2:W$1002, "Attended")</f>
        <v>1</v>
      </c>
      <c r="U7">
        <f>COUNTIFS('Attendence Tracker'!$A$2:$A$1002, $B7, 'Attendence Tracker'!X$2:X$1002, "Attended")</f>
        <v>1</v>
      </c>
      <c r="V7">
        <f>COUNTIFS('Attendence Tracker'!$A$2:$A$1002, $B7, 'Attendence Tracker'!Y$2:Y$1002, "Attended")</f>
        <v>1</v>
      </c>
      <c r="W7">
        <f>COUNTIFS('Attendence Tracker'!$A$2:$A$1002, $B7, 'Attendence Tracker'!Z$2:Z$1002, "Attended")</f>
        <v>0</v>
      </c>
      <c r="X7">
        <f>COUNTIFS('Attendence Tracker'!$A$2:$A$1002, $B7, 'Attendence Tracker'!AA$2:AA$1002, "Attended")</f>
        <v>0</v>
      </c>
      <c r="Y7">
        <f>COUNTIFS('Attendence Tracker'!$A$2:$A$1002, $B7, 'Attendence Tracker'!AB$2:AB$1002, "Attended")</f>
        <v>0</v>
      </c>
      <c r="Z7">
        <f>COUNTIFS('Attendence Tracker'!$A$2:$A$1002, $B7, 'Attendence Tracker'!AC$2:AC$1002, "Attended")</f>
        <v>0</v>
      </c>
      <c r="AA7">
        <f>COUNTIFS('Attendence Tracker'!$A$2:$A$1002, $B7, 'Attendence Tracker'!AD$2:AD$1002, "Attended")</f>
        <v>0</v>
      </c>
      <c r="AB7">
        <f>COUNTIFS('Attendence Tracker'!$A$2:$A$1002, $B7, 'Attendence Tracker'!AE$2:AE$1002, "Attended")</f>
        <v>0</v>
      </c>
      <c r="AC7">
        <f>COUNTIFS('Attendence Tracker'!$A$2:$A$1002, $B7, 'Attendence Tracker'!AF$2:AF$1002, "Attended")</f>
        <v>0</v>
      </c>
      <c r="AD7">
        <f>COUNTIFS('Attendence Tracker'!$A$2:$A$1002, $B7, 'Attendence Tracker'!AG$2:AG$1002, "Attended")</f>
        <v>0</v>
      </c>
      <c r="AE7">
        <f>COUNTIFS('Attendence Tracker'!$A$2:$A$1002, $B7, 'Attendence Tracker'!AH$2:AH$1002, "Attended")</f>
        <v>0</v>
      </c>
      <c r="AF7">
        <f>COUNTIFS('Attendence Tracker'!$A$2:$A$1002, $B7, 'Attendence Tracker'!AI$2:AI$1002, "Attended")</f>
        <v>0</v>
      </c>
      <c r="AG7">
        <f t="shared" si="0"/>
        <v>23</v>
      </c>
    </row>
    <row r="8" spans="2:33" x14ac:dyDescent="0.35">
      <c r="B8" t="s">
        <v>21</v>
      </c>
      <c r="C8">
        <f>COUNTIFS('Attendence Tracker'!$A$2:$A$1002, $B8, 'Attendence Tracker'!F$2:F$1002, "Attended")</f>
        <v>0</v>
      </c>
      <c r="D8">
        <f>COUNTIFS('Attendence Tracker'!$A$2:$A$1002, $B8, 'Attendence Tracker'!G$2:G$1002, "Attended")</f>
        <v>1</v>
      </c>
      <c r="E8">
        <f>COUNTIFS('Attendence Tracker'!$A$2:$A$1002, $B8, 'Attendence Tracker'!H$2:H$1002, "Attended")</f>
        <v>0</v>
      </c>
      <c r="F8">
        <f>COUNTIFS('Attendence Tracker'!$A$2:$A$1002, $B8, 'Attendence Tracker'!I$2:I$1002, "Attended")</f>
        <v>3</v>
      </c>
      <c r="G8">
        <f>COUNTIFS('Attendence Tracker'!$A$2:$A$1002, $B8, 'Attendence Tracker'!J$2:J$1002, "Attended")</f>
        <v>2</v>
      </c>
      <c r="H8">
        <f>COUNTIFS('Attendence Tracker'!$A$2:$A$1002, $B8, 'Attendence Tracker'!K$2:K$1002, "Attended")</f>
        <v>1</v>
      </c>
      <c r="I8">
        <f>COUNTIFS('Attendence Tracker'!$A$2:$A$1002, $B8, 'Attendence Tracker'!L$2:L$1002, "Attended")</f>
        <v>0</v>
      </c>
      <c r="J8">
        <f>COUNTIFS('Attendence Tracker'!$A$2:$A$1002, $B8, 'Attendence Tracker'!M$2:M$1002, "Attended")</f>
        <v>1</v>
      </c>
      <c r="K8">
        <f>COUNTIFS('Attendence Tracker'!$A$2:$A$1002, $B8, 'Attendence Tracker'!N$2:N$1002, "Attended")</f>
        <v>2</v>
      </c>
      <c r="L8">
        <f>COUNTIFS('Attendence Tracker'!$A$2:$A$1002, $B8, 'Attendence Tracker'!O$2:O$1002, "Attended")</f>
        <v>1</v>
      </c>
      <c r="M8">
        <f>COUNTIFS('Attendence Tracker'!$A$2:$A$1002, $B8, 'Attendence Tracker'!P$2:P$1002, "Attended")</f>
        <v>0</v>
      </c>
      <c r="N8">
        <f>COUNTIFS('Attendence Tracker'!$A$2:$A$1002, $B8, 'Attendence Tracker'!Q$2:Q$1002, "Attended")</f>
        <v>0</v>
      </c>
      <c r="O8">
        <f>COUNTIFS('Attendence Tracker'!$A$2:$A$1002, $B8, 'Attendence Tracker'!R$2:R$1002, "Attended")</f>
        <v>0</v>
      </c>
      <c r="P8">
        <f>COUNTIFS('Attendence Tracker'!$A$2:$A$1002, $B8, 'Attendence Tracker'!S$2:S$1002, "Attended")</f>
        <v>3</v>
      </c>
      <c r="Q8">
        <f>COUNTIFS('Attendence Tracker'!$A$2:$A$1002, $B8, 'Attendence Tracker'!T$2:T$1002, "Attended")</f>
        <v>1</v>
      </c>
      <c r="R8">
        <f>COUNTIFS('Attendence Tracker'!$A$2:$A$1002, $B8, 'Attendence Tracker'!U$2:U$1002, "Attended")</f>
        <v>2</v>
      </c>
      <c r="S8">
        <f>COUNTIFS('Attendence Tracker'!$A$2:$A$1002, $B8, 'Attendence Tracker'!V$2:V$1002, "Attended")</f>
        <v>2</v>
      </c>
      <c r="T8">
        <f>COUNTIFS('Attendence Tracker'!$A$2:$A$1002, $B8, 'Attendence Tracker'!W$2:W$1002, "Attended")</f>
        <v>1</v>
      </c>
      <c r="U8">
        <f>COUNTIFS('Attendence Tracker'!$A$2:$A$1002, $B8, 'Attendence Tracker'!X$2:X$1002, "Attended")</f>
        <v>1</v>
      </c>
      <c r="V8">
        <f>COUNTIFS('Attendence Tracker'!$A$2:$A$1002, $B8, 'Attendence Tracker'!Y$2:Y$1002, "Attended")</f>
        <v>0</v>
      </c>
      <c r="W8">
        <f>COUNTIFS('Attendence Tracker'!$A$2:$A$1002, $B8, 'Attendence Tracker'!Z$2:Z$1002, "Attended")</f>
        <v>0</v>
      </c>
      <c r="X8">
        <f>COUNTIFS('Attendence Tracker'!$A$2:$A$1002, $B8, 'Attendence Tracker'!AA$2:AA$1002, "Attended")</f>
        <v>0</v>
      </c>
      <c r="Y8">
        <f>COUNTIFS('Attendence Tracker'!$A$2:$A$1002, $B8, 'Attendence Tracker'!AB$2:AB$1002, "Attended")</f>
        <v>0</v>
      </c>
      <c r="Z8">
        <f>COUNTIFS('Attendence Tracker'!$A$2:$A$1002, $B8, 'Attendence Tracker'!AC$2:AC$1002, "Attended")</f>
        <v>0</v>
      </c>
      <c r="AA8">
        <f>COUNTIFS('Attendence Tracker'!$A$2:$A$1002, $B8, 'Attendence Tracker'!AD$2:AD$1002, "Attended")</f>
        <v>0</v>
      </c>
      <c r="AB8">
        <f>COUNTIFS('Attendence Tracker'!$A$2:$A$1002, $B8, 'Attendence Tracker'!AE$2:AE$1002, "Attended")</f>
        <v>0</v>
      </c>
      <c r="AC8">
        <f>COUNTIFS('Attendence Tracker'!$A$2:$A$1002, $B8, 'Attendence Tracker'!AF$2:AF$1002, "Attended")</f>
        <v>0</v>
      </c>
      <c r="AD8">
        <f>COUNTIFS('Attendence Tracker'!$A$2:$A$1002, $B8, 'Attendence Tracker'!AG$2:AG$1002, "Attended")</f>
        <v>0</v>
      </c>
      <c r="AE8">
        <f>COUNTIFS('Attendence Tracker'!$A$2:$A$1002, $B8, 'Attendence Tracker'!AH$2:AH$1002, "Attended")</f>
        <v>0</v>
      </c>
      <c r="AF8">
        <f>COUNTIFS('Attendence Tracker'!$A$2:$A$1002, $B8, 'Attendence Tracker'!AI$2:AI$1002, "Attended")</f>
        <v>0</v>
      </c>
      <c r="AG8">
        <f t="shared" si="0"/>
        <v>21</v>
      </c>
    </row>
    <row r="9" spans="2:33" ht="15" thickBot="1" x14ac:dyDescent="0.4">
      <c r="B9" s="60" t="s">
        <v>120</v>
      </c>
      <c r="C9" s="59">
        <f>SUM(C4:C8)</f>
        <v>2</v>
      </c>
      <c r="D9" s="59">
        <f t="shared" ref="D9:AF9" si="1">SUM(D4:D8)</f>
        <v>11</v>
      </c>
      <c r="E9" s="59">
        <f t="shared" si="1"/>
        <v>4</v>
      </c>
      <c r="F9" s="59">
        <f t="shared" si="1"/>
        <v>5</v>
      </c>
      <c r="G9" s="59">
        <f t="shared" si="1"/>
        <v>7</v>
      </c>
      <c r="H9" s="59">
        <f t="shared" si="1"/>
        <v>7</v>
      </c>
      <c r="I9" s="59">
        <f t="shared" si="1"/>
        <v>4</v>
      </c>
      <c r="J9" s="59">
        <f t="shared" si="1"/>
        <v>3</v>
      </c>
      <c r="K9" s="59">
        <f t="shared" si="1"/>
        <v>5</v>
      </c>
      <c r="L9" s="59">
        <f t="shared" si="1"/>
        <v>4</v>
      </c>
      <c r="M9" s="59">
        <f t="shared" si="1"/>
        <v>9</v>
      </c>
      <c r="N9" s="59">
        <f t="shared" si="1"/>
        <v>5</v>
      </c>
      <c r="O9" s="59">
        <f t="shared" si="1"/>
        <v>3</v>
      </c>
      <c r="P9" s="59">
        <f t="shared" si="1"/>
        <v>9</v>
      </c>
      <c r="Q9" s="59">
        <f t="shared" si="1"/>
        <v>3</v>
      </c>
      <c r="R9" s="59">
        <f t="shared" si="1"/>
        <v>2</v>
      </c>
      <c r="S9" s="59">
        <f t="shared" si="1"/>
        <v>5</v>
      </c>
      <c r="T9" s="59">
        <f t="shared" si="1"/>
        <v>4</v>
      </c>
      <c r="U9" s="59">
        <f t="shared" si="1"/>
        <v>5</v>
      </c>
      <c r="V9" s="59">
        <f t="shared" si="1"/>
        <v>2</v>
      </c>
      <c r="W9" s="59">
        <f t="shared" si="1"/>
        <v>0</v>
      </c>
      <c r="X9" s="59">
        <f t="shared" si="1"/>
        <v>0</v>
      </c>
      <c r="Y9" s="59">
        <f t="shared" si="1"/>
        <v>0</v>
      </c>
      <c r="Z9" s="59">
        <f t="shared" si="1"/>
        <v>0</v>
      </c>
      <c r="AA9" s="59">
        <f t="shared" si="1"/>
        <v>0</v>
      </c>
      <c r="AB9" s="59">
        <f t="shared" si="1"/>
        <v>0</v>
      </c>
      <c r="AC9" s="59">
        <f t="shared" si="1"/>
        <v>0</v>
      </c>
      <c r="AD9" s="59">
        <f t="shared" si="1"/>
        <v>0</v>
      </c>
      <c r="AE9" s="59">
        <f t="shared" si="1"/>
        <v>0</v>
      </c>
      <c r="AF9" s="59">
        <f t="shared" si="1"/>
        <v>0</v>
      </c>
      <c r="AG9" s="59">
        <f t="shared" si="0"/>
        <v>99</v>
      </c>
    </row>
    <row r="10" spans="2:33" ht="15" thickTop="1" x14ac:dyDescent="0.35"/>
    <row r="11" spans="2:33" x14ac:dyDescent="0.35">
      <c r="B11" s="1" t="s">
        <v>41</v>
      </c>
    </row>
    <row r="12" spans="2:33" x14ac:dyDescent="0.35">
      <c r="B12" s="1"/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47</v>
      </c>
      <c r="N12" t="s">
        <v>48</v>
      </c>
      <c r="O12" t="s">
        <v>49</v>
      </c>
      <c r="P12" t="s">
        <v>50</v>
      </c>
      <c r="Q12" t="s">
        <v>43</v>
      </c>
      <c r="R12" t="s">
        <v>51</v>
      </c>
      <c r="S12" t="s">
        <v>52</v>
      </c>
      <c r="T12" t="s">
        <v>53</v>
      </c>
      <c r="U12" t="s">
        <v>54</v>
      </c>
      <c r="V12" t="s">
        <v>44</v>
      </c>
      <c r="W12" t="s">
        <v>55</v>
      </c>
      <c r="X12" t="s">
        <v>56</v>
      </c>
      <c r="Y12" t="s">
        <v>57</v>
      </c>
      <c r="Z12" t="s">
        <v>58</v>
      </c>
      <c r="AA12" t="s">
        <v>45</v>
      </c>
      <c r="AB12" t="s">
        <v>59</v>
      </c>
      <c r="AC12" t="s">
        <v>60</v>
      </c>
      <c r="AD12" t="s">
        <v>61</v>
      </c>
      <c r="AE12" t="s">
        <v>62</v>
      </c>
      <c r="AF12" t="s">
        <v>46</v>
      </c>
      <c r="AG12" s="1" t="s">
        <v>120</v>
      </c>
    </row>
    <row r="13" spans="2:33" x14ac:dyDescent="0.35">
      <c r="B13" t="s">
        <v>17</v>
      </c>
      <c r="C13">
        <f>COUNTIFS('Attendence Tracker'!$A$2:$A$1002, $B13, 'Attendence Tracker'!F$2:F$1002, "Attended") +  + COUNTIFS('Attendence Tracker'!$A$2:$A$1002, $B13, 'Attendence Tracker'!F$2:F$1002, "Work Done") + COUNTIFS('Attendence Tracker'!$A$2:$A$1002, $B13, 'Attendence Tracker'!F$2:F$1002, "Missed")</f>
        <v>2</v>
      </c>
      <c r="D13">
        <f>COUNTIFS('Attendence Tracker'!$A$2:$A$1002, $B13, 'Attendence Tracker'!G$2:G$1002, "Attended") +  + COUNTIFS('Attendence Tracker'!$A$2:$A$1002, $B13, 'Attendence Tracker'!G$2:G$1002, "Work Done") + COUNTIFS('Attendence Tracker'!$A$2:$A$1002, $B13, 'Attendence Tracker'!G$2:G$1002, "Missed")</f>
        <v>4</v>
      </c>
      <c r="E13">
        <f>COUNTIFS('Attendence Tracker'!$A$2:$A$1002, $B13, 'Attendence Tracker'!H$2:H$1002, "Attended") +  + COUNTIFS('Attendence Tracker'!$A$2:$A$1002, $B13, 'Attendence Tracker'!H$2:H$1002, "Work Done") + COUNTIFS('Attendence Tracker'!$A$2:$A$1002, $B13, 'Attendence Tracker'!H$2:H$1002, "Missed")</f>
        <v>4</v>
      </c>
      <c r="F13">
        <f>COUNTIFS('Attendence Tracker'!$A$2:$A$1002, $B13, 'Attendence Tracker'!I$2:I$1002, "Attended") +  + COUNTIFS('Attendence Tracker'!$A$2:$A$1002, $B13, 'Attendence Tracker'!I$2:I$1002, "Work Done") + COUNTIFS('Attendence Tracker'!$A$2:$A$1002, $B13, 'Attendence Tracker'!I$2:I$1002, "Missed")</f>
        <v>4</v>
      </c>
      <c r="G13">
        <f>COUNTIFS('Attendence Tracker'!$A$2:$A$1002, $B13, 'Attendence Tracker'!J$2:J$1002, "Attended") +  + COUNTIFS('Attendence Tracker'!$A$2:$A$1002, $B13, 'Attendence Tracker'!J$2:J$1002, "Work Done") + COUNTIFS('Attendence Tracker'!$A$2:$A$1002, $B13, 'Attendence Tracker'!J$2:J$1002, "Missed")</f>
        <v>4</v>
      </c>
      <c r="H13">
        <f>COUNTIFS('Attendence Tracker'!$A$2:$A$1002, $B13, 'Attendence Tracker'!K$2:K$1002, "Attended") +  + COUNTIFS('Attendence Tracker'!$A$2:$A$1002, $B13, 'Attendence Tracker'!K$2:K$1002, "Work Done") + COUNTIFS('Attendence Tracker'!$A$2:$A$1002, $B13, 'Attendence Tracker'!K$2:K$1002, "Missed")</f>
        <v>4</v>
      </c>
      <c r="I13">
        <f>COUNTIFS('Attendence Tracker'!$A$2:$A$1002, $B13, 'Attendence Tracker'!L$2:L$1002, "Attended") +  + COUNTIFS('Attendence Tracker'!$A$2:$A$1002, $B13, 'Attendence Tracker'!L$2:L$1002, "Work Done") + COUNTIFS('Attendence Tracker'!$A$2:$A$1002, $B13, 'Attendence Tracker'!L$2:L$1002, "Missed")</f>
        <v>4</v>
      </c>
      <c r="J13">
        <f>COUNTIFS('Attendence Tracker'!$A$2:$A$1002, $B13, 'Attendence Tracker'!M$2:M$1002, "Attended") +  + COUNTIFS('Attendence Tracker'!$A$2:$A$1002, $B13, 'Attendence Tracker'!M$2:M$1002, "Work Done") + COUNTIFS('Attendence Tracker'!$A$2:$A$1002, $B13, 'Attendence Tracker'!M$2:M$1002, "Missed")</f>
        <v>4</v>
      </c>
      <c r="K13">
        <f>COUNTIFS('Attendence Tracker'!$A$2:$A$1002, $B13, 'Attendence Tracker'!N$2:N$1002, "Attended") +  + COUNTIFS('Attendence Tracker'!$A$2:$A$1002, $B13, 'Attendence Tracker'!N$2:N$1002, "Work Done") + COUNTIFS('Attendence Tracker'!$A$2:$A$1002, $B13, 'Attendence Tracker'!N$2:N$1002, "Missed")</f>
        <v>4</v>
      </c>
      <c r="L13">
        <f>COUNTIFS('Attendence Tracker'!$A$2:$A$1002, $B13, 'Attendence Tracker'!O$2:O$1002, "Attended") +  + COUNTIFS('Attendence Tracker'!$A$2:$A$1002, $B13, 'Attendence Tracker'!O$2:O$1002, "Work Done") + COUNTIFS('Attendence Tracker'!$A$2:$A$1002, $B13, 'Attendence Tracker'!O$2:O$1002, "Missed")</f>
        <v>4</v>
      </c>
      <c r="M13">
        <f>COUNTIFS('Attendence Tracker'!$A$2:$A$1002, $B13, 'Attendence Tracker'!P$2:P$1002, "Attended") +  + COUNTIFS('Attendence Tracker'!$A$2:$A$1002, $B13, 'Attendence Tracker'!P$2:P$1002, "Work Done") + COUNTIFS('Attendence Tracker'!$A$2:$A$1002, $B13, 'Attendence Tracker'!P$2:P$1002, "Missed")</f>
        <v>3</v>
      </c>
      <c r="N13">
        <f>COUNTIFS('Attendence Tracker'!$A$2:$A$1002, $B13, 'Attendence Tracker'!Q$2:Q$1002, "Attended") +  + COUNTIFS('Attendence Tracker'!$A$2:$A$1002, $B13, 'Attendence Tracker'!Q$2:Q$1002, "Work Done") + COUNTIFS('Attendence Tracker'!$A$2:$A$1002, $B13, 'Attendence Tracker'!Q$2:Q$1002, "Missed")</f>
        <v>3</v>
      </c>
      <c r="O13">
        <f>COUNTIFS('Attendence Tracker'!$A$2:$A$1002, $B13, 'Attendence Tracker'!R$2:R$1002, "Attended") +  + COUNTIFS('Attendence Tracker'!$A$2:$A$1002, $B13, 'Attendence Tracker'!R$2:R$1002, "Work Done") + COUNTIFS('Attendence Tracker'!$A$2:$A$1002, $B13, 'Attendence Tracker'!R$2:R$1002, "Missed")</f>
        <v>3</v>
      </c>
      <c r="P13">
        <f>COUNTIFS('Attendence Tracker'!$A$2:$A$1002, $B13, 'Attendence Tracker'!S$2:S$1002, "Attended") +  + COUNTIFS('Attendence Tracker'!$A$2:$A$1002, $B13, 'Attendence Tracker'!S$2:S$1002, "Work Done") + COUNTIFS('Attendence Tracker'!$A$2:$A$1002, $B13, 'Attendence Tracker'!S$2:S$1002, "Missed")</f>
        <v>3</v>
      </c>
      <c r="Q13">
        <f>COUNTIFS('Attendence Tracker'!$A$2:$A$1002, $B13, 'Attendence Tracker'!T$2:T$1002, "Attended") +  + COUNTIFS('Attendence Tracker'!$A$2:$A$1002, $B13, 'Attendence Tracker'!T$2:T$1002, "Work Done") + COUNTIFS('Attendence Tracker'!$A$2:$A$1002, $B13, 'Attendence Tracker'!T$2:T$1002, "Missed")</f>
        <v>3</v>
      </c>
      <c r="R13">
        <f>COUNTIFS('Attendence Tracker'!$A$2:$A$1002, $B13, 'Attendence Tracker'!U$2:U$1002, "Attended") +  + COUNTIFS('Attendence Tracker'!$A$2:$A$1002, $B13, 'Attendence Tracker'!U$2:U$1002, "Work Done") + COUNTIFS('Attendence Tracker'!$A$2:$A$1002, $B13, 'Attendence Tracker'!U$2:U$1002, "Missed")</f>
        <v>3</v>
      </c>
      <c r="S13">
        <f>COUNTIFS('Attendence Tracker'!$A$2:$A$1002, $B13, 'Attendence Tracker'!V$2:V$1002, "Attended") +  + COUNTIFS('Attendence Tracker'!$A$2:$A$1002, $B13, 'Attendence Tracker'!V$2:V$1002, "Work Done") + COUNTIFS('Attendence Tracker'!$A$2:$A$1002, $B13, 'Attendence Tracker'!V$2:V$1002, "Missed")</f>
        <v>3</v>
      </c>
      <c r="T13">
        <f>COUNTIFS('Attendence Tracker'!$A$2:$A$1002, $B13, 'Attendence Tracker'!W$2:W$1002, "Attended") +  + COUNTIFS('Attendence Tracker'!$A$2:$A$1002, $B13, 'Attendence Tracker'!W$2:W$1002, "Work Done") + COUNTIFS('Attendence Tracker'!$A$2:$A$1002, $B13, 'Attendence Tracker'!W$2:W$1002, "Missed")</f>
        <v>3</v>
      </c>
      <c r="U13">
        <f>COUNTIFS('Attendence Tracker'!$A$2:$A$1002, $B13, 'Attendence Tracker'!X$2:X$1002, "Attended") +  + COUNTIFS('Attendence Tracker'!$A$2:$A$1002, $B13, 'Attendence Tracker'!X$2:X$1002, "Work Done") + COUNTIFS('Attendence Tracker'!$A$2:$A$1002, $B13, 'Attendence Tracker'!X$2:X$1002, "Missed")</f>
        <v>3</v>
      </c>
      <c r="V13">
        <f>COUNTIFS('Attendence Tracker'!$A$2:$A$1002, $B13, 'Attendence Tracker'!Y$2:Y$1002, "Attended") +  + COUNTIFS('Attendence Tracker'!$A$2:$A$1002, $B13, 'Attendence Tracker'!Y$2:Y$1002, "Work Done") + COUNTIFS('Attendence Tracker'!$A$2:$A$1002, $B13, 'Attendence Tracker'!Y$2:Y$1002, "Missed")</f>
        <v>3</v>
      </c>
      <c r="W13">
        <f>COUNTIFS('Attendence Tracker'!$A$2:$A$1002, $B13, 'Attendence Tracker'!Z$2:Z$1002, "Attended") +  + COUNTIFS('Attendence Tracker'!$A$2:$A$1002, $B13, 'Attendence Tracker'!Z$2:Z$1002, "Work Done") + COUNTIFS('Attendence Tracker'!$A$2:$A$1002, $B13, 'Attendence Tracker'!Z$2:Z$1002, "Missed")</f>
        <v>0</v>
      </c>
      <c r="X13">
        <f>COUNTIFS('Attendence Tracker'!$A$2:$A$1002, $B13, 'Attendence Tracker'!AA$2:AA$1002, "Attended") +  + COUNTIFS('Attendence Tracker'!$A$2:$A$1002, $B13, 'Attendence Tracker'!AA$2:AA$1002, "Work Done") + COUNTIFS('Attendence Tracker'!$A$2:$A$1002, $B13, 'Attendence Tracker'!AA$2:AA$1002, "Missed")</f>
        <v>0</v>
      </c>
      <c r="Y13">
        <f>COUNTIFS('Attendence Tracker'!$A$2:$A$1002, $B13, 'Attendence Tracker'!AB$2:AB$1002, "Attended") +  + COUNTIFS('Attendence Tracker'!$A$2:$A$1002, $B13, 'Attendence Tracker'!AB$2:AB$1002, "Work Done") + COUNTIFS('Attendence Tracker'!$A$2:$A$1002, $B13, 'Attendence Tracker'!AB$2:AB$1002, "Missed")</f>
        <v>0</v>
      </c>
      <c r="Z13">
        <f>COUNTIFS('Attendence Tracker'!$A$2:$A$1002, $B13, 'Attendence Tracker'!AC$2:AC$1002, "Attended") +  + COUNTIFS('Attendence Tracker'!$A$2:$A$1002, $B13, 'Attendence Tracker'!AC$2:AC$1002, "Work Done") + COUNTIFS('Attendence Tracker'!$A$2:$A$1002, $B13, 'Attendence Tracker'!AC$2:AC$1002, "Missed")</f>
        <v>0</v>
      </c>
      <c r="AA13">
        <f>COUNTIFS('Attendence Tracker'!$A$2:$A$1002, $B13, 'Attendence Tracker'!AD$2:AD$1002, "Attended") +  + COUNTIFS('Attendence Tracker'!$A$2:$A$1002, $B13, 'Attendence Tracker'!AD$2:AD$1002, "Work Done") + COUNTIFS('Attendence Tracker'!$A$2:$A$1002, $B13, 'Attendence Tracker'!AD$2:AD$1002, "Missed")</f>
        <v>0</v>
      </c>
      <c r="AB13">
        <f>COUNTIFS('Attendence Tracker'!$A$2:$A$1002, $B13, 'Attendence Tracker'!AE$2:AE$1002, "Attended") +  + COUNTIFS('Attendence Tracker'!$A$2:$A$1002, $B13, 'Attendence Tracker'!AE$2:AE$1002, "Work Done") + COUNTIFS('Attendence Tracker'!$A$2:$A$1002, $B13, 'Attendence Tracker'!AE$2:AE$1002, "Missed")</f>
        <v>0</v>
      </c>
      <c r="AC13">
        <f>COUNTIFS('Attendence Tracker'!$A$2:$A$1002, $B13, 'Attendence Tracker'!AF$2:AF$1002, "Attended") +  + COUNTIFS('Attendence Tracker'!$A$2:$A$1002, $B13, 'Attendence Tracker'!AF$2:AF$1002, "Work Done") + COUNTIFS('Attendence Tracker'!$A$2:$A$1002, $B13, 'Attendence Tracker'!AF$2:AF$1002, "Missed")</f>
        <v>0</v>
      </c>
      <c r="AD13">
        <f>COUNTIFS('Attendence Tracker'!$A$2:$A$1002, $B13, 'Attendence Tracker'!AG$2:AG$1002, "Attended") +  + COUNTIFS('Attendence Tracker'!$A$2:$A$1002, $B13, 'Attendence Tracker'!AG$2:AG$1002, "Work Done") + COUNTIFS('Attendence Tracker'!$A$2:$A$1002, $B13, 'Attendence Tracker'!AG$2:AG$1002, "Missed")</f>
        <v>0</v>
      </c>
      <c r="AE13">
        <f>COUNTIFS('Attendence Tracker'!$A$2:$A$1002, $B13, 'Attendence Tracker'!AH$2:AH$1002, "Attended") +  + COUNTIFS('Attendence Tracker'!$A$2:$A$1002, $B13, 'Attendence Tracker'!AH$2:AH$1002, "Work Done") + COUNTIFS('Attendence Tracker'!$A$2:$A$1002, $B13, 'Attendence Tracker'!AH$2:AH$1002, "Missed")</f>
        <v>0</v>
      </c>
      <c r="AF13">
        <f>COUNTIFS('Attendence Tracker'!$A$2:$A$1002, $B13, 'Attendence Tracker'!AI$2:AI$1002, "Attended") +  + COUNTIFS('Attendence Tracker'!$A$2:$A$1002, $B13, 'Attendence Tracker'!AI$2:AI$1002, "Work Done") + COUNTIFS('Attendence Tracker'!$A$2:$A$1002, $B13, 'Attendence Tracker'!AI$2:AI$1002, "Missed")</f>
        <v>0</v>
      </c>
      <c r="AG13">
        <f>SUM(C13:AF13)</f>
        <v>68</v>
      </c>
    </row>
    <row r="14" spans="2:33" x14ac:dyDescent="0.35">
      <c r="B14" t="s">
        <v>18</v>
      </c>
      <c r="C14">
        <f>COUNTIFS('Attendence Tracker'!$A$2:$A$1002, $B14, 'Attendence Tracker'!F$2:F$1002, "Attended") +  + COUNTIFS('Attendence Tracker'!$A$2:$A$1002, $B14, 'Attendence Tracker'!F$2:F$1002, "Work Done") + COUNTIFS('Attendence Tracker'!$A$2:$A$1002, $B14, 'Attendence Tracker'!F$2:F$1002, "Missed")</f>
        <v>2</v>
      </c>
      <c r="D14">
        <f>COUNTIFS('Attendence Tracker'!$A$2:$A$1002, $B14, 'Attendence Tracker'!G$2:G$1002, "Attended") +  + COUNTIFS('Attendence Tracker'!$A$2:$A$1002, $B14, 'Attendence Tracker'!G$2:G$1002, "Work Done") + COUNTIFS('Attendence Tracker'!$A$2:$A$1002, $B14, 'Attendence Tracker'!G$2:G$1002, "Missed")</f>
        <v>3</v>
      </c>
      <c r="E14">
        <f>COUNTIFS('Attendence Tracker'!$A$2:$A$1002, $B14, 'Attendence Tracker'!H$2:H$1002, "Attended") +  + COUNTIFS('Attendence Tracker'!$A$2:$A$1002, $B14, 'Attendence Tracker'!H$2:H$1002, "Work Done") + COUNTIFS('Attendence Tracker'!$A$2:$A$1002, $B14, 'Attendence Tracker'!H$2:H$1002, "Missed")</f>
        <v>3</v>
      </c>
      <c r="F14">
        <f>COUNTIFS('Attendence Tracker'!$A$2:$A$1002, $B14, 'Attendence Tracker'!I$2:I$1002, "Attended") +  + COUNTIFS('Attendence Tracker'!$A$2:$A$1002, $B14, 'Attendence Tracker'!I$2:I$1002, "Work Done") + COUNTIFS('Attendence Tracker'!$A$2:$A$1002, $B14, 'Attendence Tracker'!I$2:I$1002, "Missed")</f>
        <v>3</v>
      </c>
      <c r="G14">
        <f>COUNTIFS('Attendence Tracker'!$A$2:$A$1002, $B14, 'Attendence Tracker'!J$2:J$1002, "Attended") +  + COUNTIFS('Attendence Tracker'!$A$2:$A$1002, $B14, 'Attendence Tracker'!J$2:J$1002, "Work Done") + COUNTIFS('Attendence Tracker'!$A$2:$A$1002, $B14, 'Attendence Tracker'!J$2:J$1002, "Missed")</f>
        <v>3</v>
      </c>
      <c r="H14">
        <f>COUNTIFS('Attendence Tracker'!$A$2:$A$1002, $B14, 'Attendence Tracker'!K$2:K$1002, "Attended") +  + COUNTIFS('Attendence Tracker'!$A$2:$A$1002, $B14, 'Attendence Tracker'!K$2:K$1002, "Work Done") + COUNTIFS('Attendence Tracker'!$A$2:$A$1002, $B14, 'Attendence Tracker'!K$2:K$1002, "Missed")</f>
        <v>3</v>
      </c>
      <c r="I14">
        <f>COUNTIFS('Attendence Tracker'!$A$2:$A$1002, $B14, 'Attendence Tracker'!L$2:L$1002, "Attended") +  + COUNTIFS('Attendence Tracker'!$A$2:$A$1002, $B14, 'Attendence Tracker'!L$2:L$1002, "Work Done") + COUNTIFS('Attendence Tracker'!$A$2:$A$1002, $B14, 'Attendence Tracker'!L$2:L$1002, "Missed")</f>
        <v>3</v>
      </c>
      <c r="J14">
        <f>COUNTIFS('Attendence Tracker'!$A$2:$A$1002, $B14, 'Attendence Tracker'!M$2:M$1002, "Attended") +  + COUNTIFS('Attendence Tracker'!$A$2:$A$1002, $B14, 'Attendence Tracker'!M$2:M$1002, "Work Done") + COUNTIFS('Attendence Tracker'!$A$2:$A$1002, $B14, 'Attendence Tracker'!M$2:M$1002, "Missed")</f>
        <v>3</v>
      </c>
      <c r="K14">
        <f>COUNTIFS('Attendence Tracker'!$A$2:$A$1002, $B14, 'Attendence Tracker'!N$2:N$1002, "Attended") +  + COUNTIFS('Attendence Tracker'!$A$2:$A$1002, $B14, 'Attendence Tracker'!N$2:N$1002, "Work Done") + COUNTIFS('Attendence Tracker'!$A$2:$A$1002, $B14, 'Attendence Tracker'!N$2:N$1002, "Missed")</f>
        <v>3</v>
      </c>
      <c r="L14">
        <f>COUNTIFS('Attendence Tracker'!$A$2:$A$1002, $B14, 'Attendence Tracker'!O$2:O$1002, "Attended") +  + COUNTIFS('Attendence Tracker'!$A$2:$A$1002, $B14, 'Attendence Tracker'!O$2:O$1002, "Work Done") + COUNTIFS('Attendence Tracker'!$A$2:$A$1002, $B14, 'Attendence Tracker'!O$2:O$1002, "Missed")</f>
        <v>3</v>
      </c>
      <c r="M14">
        <f>COUNTIFS('Attendence Tracker'!$A$2:$A$1002, $B14, 'Attendence Tracker'!P$2:P$1002, "Attended") +  + COUNTIFS('Attendence Tracker'!$A$2:$A$1002, $B14, 'Attendence Tracker'!P$2:P$1002, "Work Done") + COUNTIFS('Attendence Tracker'!$A$2:$A$1002, $B14, 'Attendence Tracker'!P$2:P$1002, "Missed")</f>
        <v>3</v>
      </c>
      <c r="N14">
        <f>COUNTIFS('Attendence Tracker'!$A$2:$A$1002, $B14, 'Attendence Tracker'!Q$2:Q$1002, "Attended") +  + COUNTIFS('Attendence Tracker'!$A$2:$A$1002, $B14, 'Attendence Tracker'!Q$2:Q$1002, "Work Done") + COUNTIFS('Attendence Tracker'!$A$2:$A$1002, $B14, 'Attendence Tracker'!Q$2:Q$1002, "Missed")</f>
        <v>3</v>
      </c>
      <c r="O14">
        <f>COUNTIFS('Attendence Tracker'!$A$2:$A$1002, $B14, 'Attendence Tracker'!R$2:R$1002, "Attended") +  + COUNTIFS('Attendence Tracker'!$A$2:$A$1002, $B14, 'Attendence Tracker'!R$2:R$1002, "Work Done") + COUNTIFS('Attendence Tracker'!$A$2:$A$1002, $B14, 'Attendence Tracker'!R$2:R$1002, "Missed")</f>
        <v>3</v>
      </c>
      <c r="P14">
        <f>COUNTIFS('Attendence Tracker'!$A$2:$A$1002, $B14, 'Attendence Tracker'!S$2:S$1002, "Attended") +  + COUNTIFS('Attendence Tracker'!$A$2:$A$1002, $B14, 'Attendence Tracker'!S$2:S$1002, "Work Done") + COUNTIFS('Attendence Tracker'!$A$2:$A$1002, $B14, 'Attendence Tracker'!S$2:S$1002, "Missed")</f>
        <v>2</v>
      </c>
      <c r="Q14">
        <f>COUNTIFS('Attendence Tracker'!$A$2:$A$1002, $B14, 'Attendence Tracker'!T$2:T$1002, "Attended") +  + COUNTIFS('Attendence Tracker'!$A$2:$A$1002, $B14, 'Attendence Tracker'!T$2:T$1002, "Work Done") + COUNTIFS('Attendence Tracker'!$A$2:$A$1002, $B14, 'Attendence Tracker'!T$2:T$1002, "Missed")</f>
        <v>2</v>
      </c>
      <c r="R14">
        <f>COUNTIFS('Attendence Tracker'!$A$2:$A$1002, $B14, 'Attendence Tracker'!U$2:U$1002, "Attended") +  + COUNTIFS('Attendence Tracker'!$A$2:$A$1002, $B14, 'Attendence Tracker'!U$2:U$1002, "Work Done") + COUNTIFS('Attendence Tracker'!$A$2:$A$1002, $B14, 'Attendence Tracker'!U$2:U$1002, "Missed")</f>
        <v>2</v>
      </c>
      <c r="S14">
        <f>COUNTIFS('Attendence Tracker'!$A$2:$A$1002, $B14, 'Attendence Tracker'!V$2:V$1002, "Attended") +  + COUNTIFS('Attendence Tracker'!$A$2:$A$1002, $B14, 'Attendence Tracker'!V$2:V$1002, "Work Done") + COUNTIFS('Attendence Tracker'!$A$2:$A$1002, $B14, 'Attendence Tracker'!V$2:V$1002, "Missed")</f>
        <v>2</v>
      </c>
      <c r="T14">
        <f>COUNTIFS('Attendence Tracker'!$A$2:$A$1002, $B14, 'Attendence Tracker'!W$2:W$1002, "Attended") +  + COUNTIFS('Attendence Tracker'!$A$2:$A$1002, $B14, 'Attendence Tracker'!W$2:W$1002, "Work Done") + COUNTIFS('Attendence Tracker'!$A$2:$A$1002, $B14, 'Attendence Tracker'!W$2:W$1002, "Missed")</f>
        <v>2</v>
      </c>
      <c r="U14">
        <f>COUNTIFS('Attendence Tracker'!$A$2:$A$1002, $B14, 'Attendence Tracker'!X$2:X$1002, "Attended") +  + COUNTIFS('Attendence Tracker'!$A$2:$A$1002, $B14, 'Attendence Tracker'!X$2:X$1002, "Work Done") + COUNTIFS('Attendence Tracker'!$A$2:$A$1002, $B14, 'Attendence Tracker'!X$2:X$1002, "Missed")</f>
        <v>2</v>
      </c>
      <c r="V14">
        <f>COUNTIFS('Attendence Tracker'!$A$2:$A$1002, $B14, 'Attendence Tracker'!Y$2:Y$1002, "Attended") +  + COUNTIFS('Attendence Tracker'!$A$2:$A$1002, $B14, 'Attendence Tracker'!Y$2:Y$1002, "Work Done") + COUNTIFS('Attendence Tracker'!$A$2:$A$1002, $B14, 'Attendence Tracker'!Y$2:Y$1002, "Missed")</f>
        <v>2</v>
      </c>
      <c r="W14">
        <f>COUNTIFS('Attendence Tracker'!$A$2:$A$1002, $B14, 'Attendence Tracker'!Z$2:Z$1002, "Attended") +  + COUNTIFS('Attendence Tracker'!$A$2:$A$1002, $B14, 'Attendence Tracker'!Z$2:Z$1002, "Work Done") + COUNTIFS('Attendence Tracker'!$A$2:$A$1002, $B14, 'Attendence Tracker'!Z$2:Z$1002, "Missed")</f>
        <v>0</v>
      </c>
      <c r="X14">
        <f>COUNTIFS('Attendence Tracker'!$A$2:$A$1002, $B14, 'Attendence Tracker'!AA$2:AA$1002, "Attended") +  + COUNTIFS('Attendence Tracker'!$A$2:$A$1002, $B14, 'Attendence Tracker'!AA$2:AA$1002, "Work Done") + COUNTIFS('Attendence Tracker'!$A$2:$A$1002, $B14, 'Attendence Tracker'!AA$2:AA$1002, "Missed")</f>
        <v>0</v>
      </c>
      <c r="Y14">
        <f>COUNTIFS('Attendence Tracker'!$A$2:$A$1002, $B14, 'Attendence Tracker'!AB$2:AB$1002, "Attended") +  + COUNTIFS('Attendence Tracker'!$A$2:$A$1002, $B14, 'Attendence Tracker'!AB$2:AB$1002, "Work Done") + COUNTIFS('Attendence Tracker'!$A$2:$A$1002, $B14, 'Attendence Tracker'!AB$2:AB$1002, "Missed")</f>
        <v>0</v>
      </c>
      <c r="Z14">
        <f>COUNTIFS('Attendence Tracker'!$A$2:$A$1002, $B14, 'Attendence Tracker'!AC$2:AC$1002, "Attended") +  + COUNTIFS('Attendence Tracker'!$A$2:$A$1002, $B14, 'Attendence Tracker'!AC$2:AC$1002, "Work Done") + COUNTIFS('Attendence Tracker'!$A$2:$A$1002, $B14, 'Attendence Tracker'!AC$2:AC$1002, "Missed")</f>
        <v>0</v>
      </c>
      <c r="AA14">
        <f>COUNTIFS('Attendence Tracker'!$A$2:$A$1002, $B14, 'Attendence Tracker'!AD$2:AD$1002, "Attended") +  + COUNTIFS('Attendence Tracker'!$A$2:$A$1002, $B14, 'Attendence Tracker'!AD$2:AD$1002, "Work Done") + COUNTIFS('Attendence Tracker'!$A$2:$A$1002, $B14, 'Attendence Tracker'!AD$2:AD$1002, "Missed")</f>
        <v>0</v>
      </c>
      <c r="AB14">
        <f>COUNTIFS('Attendence Tracker'!$A$2:$A$1002, $B14, 'Attendence Tracker'!AE$2:AE$1002, "Attended") +  + COUNTIFS('Attendence Tracker'!$A$2:$A$1002, $B14, 'Attendence Tracker'!AE$2:AE$1002, "Work Done") + COUNTIFS('Attendence Tracker'!$A$2:$A$1002, $B14, 'Attendence Tracker'!AE$2:AE$1002, "Missed")</f>
        <v>0</v>
      </c>
      <c r="AC14">
        <f>COUNTIFS('Attendence Tracker'!$A$2:$A$1002, $B14, 'Attendence Tracker'!AF$2:AF$1002, "Attended") +  + COUNTIFS('Attendence Tracker'!$A$2:$A$1002, $B14, 'Attendence Tracker'!AF$2:AF$1002, "Work Done") + COUNTIFS('Attendence Tracker'!$A$2:$A$1002, $B14, 'Attendence Tracker'!AF$2:AF$1002, "Missed")</f>
        <v>0</v>
      </c>
      <c r="AD14">
        <f>COUNTIFS('Attendence Tracker'!$A$2:$A$1002, $B14, 'Attendence Tracker'!AG$2:AG$1002, "Attended") +  + COUNTIFS('Attendence Tracker'!$A$2:$A$1002, $B14, 'Attendence Tracker'!AG$2:AG$1002, "Work Done") + COUNTIFS('Attendence Tracker'!$A$2:$A$1002, $B14, 'Attendence Tracker'!AG$2:AG$1002, "Missed")</f>
        <v>0</v>
      </c>
      <c r="AE14">
        <f>COUNTIFS('Attendence Tracker'!$A$2:$A$1002, $B14, 'Attendence Tracker'!AH$2:AH$1002, "Attended") +  + COUNTIFS('Attendence Tracker'!$A$2:$A$1002, $B14, 'Attendence Tracker'!AH$2:AH$1002, "Work Done") + COUNTIFS('Attendence Tracker'!$A$2:$A$1002, $B14, 'Attendence Tracker'!AH$2:AH$1002, "Missed")</f>
        <v>0</v>
      </c>
      <c r="AF14">
        <f>COUNTIFS('Attendence Tracker'!$A$2:$A$1002, $B14, 'Attendence Tracker'!AI$2:AI$1002, "Attended") +  + COUNTIFS('Attendence Tracker'!$A$2:$A$1002, $B14, 'Attendence Tracker'!AI$2:AI$1002, "Work Done") + COUNTIFS('Attendence Tracker'!$A$2:$A$1002, $B14, 'Attendence Tracker'!AI$2:AI$1002, "Missed")</f>
        <v>0</v>
      </c>
      <c r="AG14">
        <f t="shared" ref="AG14:AG18" si="2">SUM(C14:AF14)</f>
        <v>52</v>
      </c>
    </row>
    <row r="15" spans="2:33" x14ac:dyDescent="0.35">
      <c r="B15" t="s">
        <v>19</v>
      </c>
      <c r="C15">
        <f>COUNTIFS('Attendence Tracker'!$A$2:$A$1002, $B15, 'Attendence Tracker'!F$2:F$1002, "Attended") +  + COUNTIFS('Attendence Tracker'!$A$2:$A$1002, $B15, 'Attendence Tracker'!F$2:F$1002, "Work Done") + COUNTIFS('Attendence Tracker'!$A$2:$A$1002, $B15, 'Attendence Tracker'!F$2:F$1002, "Missed")</f>
        <v>2</v>
      </c>
      <c r="D15">
        <f>COUNTIFS('Attendence Tracker'!$A$2:$A$1002, $B15, 'Attendence Tracker'!G$2:G$1002, "Attended") +  + COUNTIFS('Attendence Tracker'!$A$2:$A$1002, $B15, 'Attendence Tracker'!G$2:G$1002, "Work Done") + COUNTIFS('Attendence Tracker'!$A$2:$A$1002, $B15, 'Attendence Tracker'!G$2:G$1002, "Missed")</f>
        <v>2</v>
      </c>
      <c r="E15">
        <f>COUNTIFS('Attendence Tracker'!$A$2:$A$1002, $B15, 'Attendence Tracker'!H$2:H$1002, "Attended") +  + COUNTIFS('Attendence Tracker'!$A$2:$A$1002, $B15, 'Attendence Tracker'!H$2:H$1002, "Work Done") + COUNTIFS('Attendence Tracker'!$A$2:$A$1002, $B15, 'Attendence Tracker'!H$2:H$1002, "Missed")</f>
        <v>2</v>
      </c>
      <c r="F15">
        <f>COUNTIFS('Attendence Tracker'!$A$2:$A$1002, $B15, 'Attendence Tracker'!I$2:I$1002, "Attended") +  + COUNTIFS('Attendence Tracker'!$A$2:$A$1002, $B15, 'Attendence Tracker'!I$2:I$1002, "Work Done") + COUNTIFS('Attendence Tracker'!$A$2:$A$1002, $B15, 'Attendence Tracker'!I$2:I$1002, "Missed")</f>
        <v>2</v>
      </c>
      <c r="G15">
        <f>COUNTIFS('Attendence Tracker'!$A$2:$A$1002, $B15, 'Attendence Tracker'!J$2:J$1002, "Attended") +  + COUNTIFS('Attendence Tracker'!$A$2:$A$1002, $B15, 'Attendence Tracker'!J$2:J$1002, "Work Done") + COUNTIFS('Attendence Tracker'!$A$2:$A$1002, $B15, 'Attendence Tracker'!J$2:J$1002, "Missed")</f>
        <v>2</v>
      </c>
      <c r="H15">
        <f>COUNTIFS('Attendence Tracker'!$A$2:$A$1002, $B15, 'Attendence Tracker'!K$2:K$1002, "Attended") +  + COUNTIFS('Attendence Tracker'!$A$2:$A$1002, $B15, 'Attendence Tracker'!K$2:K$1002, "Work Done") + COUNTIFS('Attendence Tracker'!$A$2:$A$1002, $B15, 'Attendence Tracker'!K$2:K$1002, "Missed")</f>
        <v>2</v>
      </c>
      <c r="I15">
        <f>COUNTIFS('Attendence Tracker'!$A$2:$A$1002, $B15, 'Attendence Tracker'!L$2:L$1002, "Attended") +  + COUNTIFS('Attendence Tracker'!$A$2:$A$1002, $B15, 'Attendence Tracker'!L$2:L$1002, "Work Done") + COUNTIFS('Attendence Tracker'!$A$2:$A$1002, $B15, 'Attendence Tracker'!L$2:L$1002, "Missed")</f>
        <v>1</v>
      </c>
      <c r="J15">
        <f>COUNTIFS('Attendence Tracker'!$A$2:$A$1002, $B15, 'Attendence Tracker'!M$2:M$1002, "Attended") +  + COUNTIFS('Attendence Tracker'!$A$2:$A$1002, $B15, 'Attendence Tracker'!M$2:M$1002, "Work Done") + COUNTIFS('Attendence Tracker'!$A$2:$A$1002, $B15, 'Attendence Tracker'!M$2:M$1002, "Missed")</f>
        <v>2</v>
      </c>
      <c r="K15">
        <f>COUNTIFS('Attendence Tracker'!$A$2:$A$1002, $B15, 'Attendence Tracker'!N$2:N$1002, "Attended") +  + COUNTIFS('Attendence Tracker'!$A$2:$A$1002, $B15, 'Attendence Tracker'!N$2:N$1002, "Work Done") + COUNTIFS('Attendence Tracker'!$A$2:$A$1002, $B15, 'Attendence Tracker'!N$2:N$1002, "Missed")</f>
        <v>2</v>
      </c>
      <c r="L15">
        <f>COUNTIFS('Attendence Tracker'!$A$2:$A$1002, $B15, 'Attendence Tracker'!O$2:O$1002, "Attended") +  + COUNTIFS('Attendence Tracker'!$A$2:$A$1002, $B15, 'Attendence Tracker'!O$2:O$1002, "Work Done") + COUNTIFS('Attendence Tracker'!$A$2:$A$1002, $B15, 'Attendence Tracker'!O$2:O$1002, "Missed")</f>
        <v>2</v>
      </c>
      <c r="M15">
        <f>COUNTIFS('Attendence Tracker'!$A$2:$A$1002, $B15, 'Attendence Tracker'!P$2:P$1002, "Attended") +  + COUNTIFS('Attendence Tracker'!$A$2:$A$1002, $B15, 'Attendence Tracker'!P$2:P$1002, "Work Done") + COUNTIFS('Attendence Tracker'!$A$2:$A$1002, $B15, 'Attendence Tracker'!P$2:P$1002, "Missed")</f>
        <v>2</v>
      </c>
      <c r="N15">
        <f>COUNTIFS('Attendence Tracker'!$A$2:$A$1002, $B15, 'Attendence Tracker'!Q$2:Q$1002, "Attended") +  + COUNTIFS('Attendence Tracker'!$A$2:$A$1002, $B15, 'Attendence Tracker'!Q$2:Q$1002, "Work Done") + COUNTIFS('Attendence Tracker'!$A$2:$A$1002, $B15, 'Attendence Tracker'!Q$2:Q$1002, "Missed")</f>
        <v>3</v>
      </c>
      <c r="O15">
        <f>COUNTIFS('Attendence Tracker'!$A$2:$A$1002, $B15, 'Attendence Tracker'!R$2:R$1002, "Attended") +  + COUNTIFS('Attendence Tracker'!$A$2:$A$1002, $B15, 'Attendence Tracker'!R$2:R$1002, "Work Done") + COUNTIFS('Attendence Tracker'!$A$2:$A$1002, $B15, 'Attendence Tracker'!R$2:R$1002, "Missed")</f>
        <v>2</v>
      </c>
      <c r="P15">
        <f>COUNTIFS('Attendence Tracker'!$A$2:$A$1002, $B15, 'Attendence Tracker'!S$2:S$1002, "Attended") +  + COUNTIFS('Attendence Tracker'!$A$2:$A$1002, $B15, 'Attendence Tracker'!S$2:S$1002, "Work Done") + COUNTIFS('Attendence Tracker'!$A$2:$A$1002, $B15, 'Attendence Tracker'!S$2:S$1002, "Missed")</f>
        <v>2</v>
      </c>
      <c r="Q15">
        <f>COUNTIFS('Attendence Tracker'!$A$2:$A$1002, $B15, 'Attendence Tracker'!T$2:T$1002, "Attended") +  + COUNTIFS('Attendence Tracker'!$A$2:$A$1002, $B15, 'Attendence Tracker'!T$2:T$1002, "Work Done") + COUNTIFS('Attendence Tracker'!$A$2:$A$1002, $B15, 'Attendence Tracker'!T$2:T$1002, "Missed")</f>
        <v>2</v>
      </c>
      <c r="R15">
        <f>COUNTIFS('Attendence Tracker'!$A$2:$A$1002, $B15, 'Attendence Tracker'!U$2:U$1002, "Attended") +  + COUNTIFS('Attendence Tracker'!$A$2:$A$1002, $B15, 'Attendence Tracker'!U$2:U$1002, "Work Done") + COUNTIFS('Attendence Tracker'!$A$2:$A$1002, $B15, 'Attendence Tracker'!U$2:U$1002, "Missed")</f>
        <v>2</v>
      </c>
      <c r="S15">
        <f>COUNTIFS('Attendence Tracker'!$A$2:$A$1002, $B15, 'Attendence Tracker'!V$2:V$1002, "Attended") +  + COUNTIFS('Attendence Tracker'!$A$2:$A$1002, $B15, 'Attendence Tracker'!V$2:V$1002, "Work Done") + COUNTIFS('Attendence Tracker'!$A$2:$A$1002, $B15, 'Attendence Tracker'!V$2:V$1002, "Missed")</f>
        <v>2</v>
      </c>
      <c r="T15">
        <f>COUNTIFS('Attendence Tracker'!$A$2:$A$1002, $B15, 'Attendence Tracker'!W$2:W$1002, "Attended") +  + COUNTIFS('Attendence Tracker'!$A$2:$A$1002, $B15, 'Attendence Tracker'!W$2:W$1002, "Work Done") + COUNTIFS('Attendence Tracker'!$A$2:$A$1002, $B15, 'Attendence Tracker'!W$2:W$1002, "Missed")</f>
        <v>2</v>
      </c>
      <c r="U15">
        <f>COUNTIFS('Attendence Tracker'!$A$2:$A$1002, $B15, 'Attendence Tracker'!X$2:X$1002, "Attended") +  + COUNTIFS('Attendence Tracker'!$A$2:$A$1002, $B15, 'Attendence Tracker'!X$2:X$1002, "Work Done") + COUNTIFS('Attendence Tracker'!$A$2:$A$1002, $B15, 'Attendence Tracker'!X$2:X$1002, "Missed")</f>
        <v>3</v>
      </c>
      <c r="V15">
        <f>COUNTIFS('Attendence Tracker'!$A$2:$A$1002, $B15, 'Attendence Tracker'!Y$2:Y$1002, "Attended") +  + COUNTIFS('Attendence Tracker'!$A$2:$A$1002, $B15, 'Attendence Tracker'!Y$2:Y$1002, "Work Done") + COUNTIFS('Attendence Tracker'!$A$2:$A$1002, $B15, 'Attendence Tracker'!Y$2:Y$1002, "Missed")</f>
        <v>1</v>
      </c>
      <c r="W15">
        <f>COUNTIFS('Attendence Tracker'!$A$2:$A$1002, $B15, 'Attendence Tracker'!Z$2:Z$1002, "Attended") +  + COUNTIFS('Attendence Tracker'!$A$2:$A$1002, $B15, 'Attendence Tracker'!Z$2:Z$1002, "Work Done") + COUNTIFS('Attendence Tracker'!$A$2:$A$1002, $B15, 'Attendence Tracker'!Z$2:Z$1002, "Missed")</f>
        <v>0</v>
      </c>
      <c r="X15">
        <f>COUNTIFS('Attendence Tracker'!$A$2:$A$1002, $B15, 'Attendence Tracker'!AA$2:AA$1002, "Attended") +  + COUNTIFS('Attendence Tracker'!$A$2:$A$1002, $B15, 'Attendence Tracker'!AA$2:AA$1002, "Work Done") + COUNTIFS('Attendence Tracker'!$A$2:$A$1002, $B15, 'Attendence Tracker'!AA$2:AA$1002, "Missed")</f>
        <v>0</v>
      </c>
      <c r="Y15">
        <f>COUNTIFS('Attendence Tracker'!$A$2:$A$1002, $B15, 'Attendence Tracker'!AB$2:AB$1002, "Attended") +  + COUNTIFS('Attendence Tracker'!$A$2:$A$1002, $B15, 'Attendence Tracker'!AB$2:AB$1002, "Work Done") + COUNTIFS('Attendence Tracker'!$A$2:$A$1002, $B15, 'Attendence Tracker'!AB$2:AB$1002, "Missed")</f>
        <v>0</v>
      </c>
      <c r="Z15">
        <f>COUNTIFS('Attendence Tracker'!$A$2:$A$1002, $B15, 'Attendence Tracker'!AC$2:AC$1002, "Attended") +  + COUNTIFS('Attendence Tracker'!$A$2:$A$1002, $B15, 'Attendence Tracker'!AC$2:AC$1002, "Work Done") + COUNTIFS('Attendence Tracker'!$A$2:$A$1002, $B15, 'Attendence Tracker'!AC$2:AC$1002, "Missed")</f>
        <v>0</v>
      </c>
      <c r="AA15">
        <f>COUNTIFS('Attendence Tracker'!$A$2:$A$1002, $B15, 'Attendence Tracker'!AD$2:AD$1002, "Attended") +  + COUNTIFS('Attendence Tracker'!$A$2:$A$1002, $B15, 'Attendence Tracker'!AD$2:AD$1002, "Work Done") + COUNTIFS('Attendence Tracker'!$A$2:$A$1002, $B15, 'Attendence Tracker'!AD$2:AD$1002, "Missed")</f>
        <v>0</v>
      </c>
      <c r="AB15">
        <f>COUNTIFS('Attendence Tracker'!$A$2:$A$1002, $B15, 'Attendence Tracker'!AE$2:AE$1002, "Attended") +  + COUNTIFS('Attendence Tracker'!$A$2:$A$1002, $B15, 'Attendence Tracker'!AE$2:AE$1002, "Work Done") + COUNTIFS('Attendence Tracker'!$A$2:$A$1002, $B15, 'Attendence Tracker'!AE$2:AE$1002, "Missed")</f>
        <v>0</v>
      </c>
      <c r="AC15">
        <f>COUNTIFS('Attendence Tracker'!$A$2:$A$1002, $B15, 'Attendence Tracker'!AF$2:AF$1002, "Attended") +  + COUNTIFS('Attendence Tracker'!$A$2:$A$1002, $B15, 'Attendence Tracker'!AF$2:AF$1002, "Work Done") + COUNTIFS('Attendence Tracker'!$A$2:$A$1002, $B15, 'Attendence Tracker'!AF$2:AF$1002, "Missed")</f>
        <v>0</v>
      </c>
      <c r="AD15">
        <f>COUNTIFS('Attendence Tracker'!$A$2:$A$1002, $B15, 'Attendence Tracker'!AG$2:AG$1002, "Attended") +  + COUNTIFS('Attendence Tracker'!$A$2:$A$1002, $B15, 'Attendence Tracker'!AG$2:AG$1002, "Work Done") + COUNTIFS('Attendence Tracker'!$A$2:$A$1002, $B15, 'Attendence Tracker'!AG$2:AG$1002, "Missed")</f>
        <v>0</v>
      </c>
      <c r="AE15">
        <f>COUNTIFS('Attendence Tracker'!$A$2:$A$1002, $B15, 'Attendence Tracker'!AH$2:AH$1002, "Attended") +  + COUNTIFS('Attendence Tracker'!$A$2:$A$1002, $B15, 'Attendence Tracker'!AH$2:AH$1002, "Work Done") + COUNTIFS('Attendence Tracker'!$A$2:$A$1002, $B15, 'Attendence Tracker'!AH$2:AH$1002, "Missed")</f>
        <v>0</v>
      </c>
      <c r="AF15">
        <f>COUNTIFS('Attendence Tracker'!$A$2:$A$1002, $B15, 'Attendence Tracker'!AI$2:AI$1002, "Attended") +  + COUNTIFS('Attendence Tracker'!$A$2:$A$1002, $B15, 'Attendence Tracker'!AI$2:AI$1002, "Work Done") + COUNTIFS('Attendence Tracker'!$A$2:$A$1002, $B15, 'Attendence Tracker'!AI$2:AI$1002, "Missed")</f>
        <v>0</v>
      </c>
      <c r="AG15">
        <f t="shared" si="2"/>
        <v>40</v>
      </c>
    </row>
    <row r="16" spans="2:33" x14ac:dyDescent="0.35">
      <c r="B16" t="s">
        <v>20</v>
      </c>
      <c r="C16">
        <f>COUNTIFS('Attendence Tracker'!$A$2:$A$1002, $B16, 'Attendence Tracker'!F$2:F$1002, "Attended") +  + COUNTIFS('Attendence Tracker'!$A$2:$A$1002, $B16, 'Attendence Tracker'!F$2:F$1002, "Work Done") + COUNTIFS('Attendence Tracker'!$A$2:$A$1002, $B16, 'Attendence Tracker'!F$2:F$1002, "Missed")</f>
        <v>3</v>
      </c>
      <c r="D16">
        <f>COUNTIFS('Attendence Tracker'!$A$2:$A$1002, $B16, 'Attendence Tracker'!G$2:G$1002, "Attended") +  + COUNTIFS('Attendence Tracker'!$A$2:$A$1002, $B16, 'Attendence Tracker'!G$2:G$1002, "Work Done") + COUNTIFS('Attendence Tracker'!$A$2:$A$1002, $B16, 'Attendence Tracker'!G$2:G$1002, "Missed")</f>
        <v>4</v>
      </c>
      <c r="E16">
        <f>COUNTIFS('Attendence Tracker'!$A$2:$A$1002, $B16, 'Attendence Tracker'!H$2:H$1002, "Attended") +  + COUNTIFS('Attendence Tracker'!$A$2:$A$1002, $B16, 'Attendence Tracker'!H$2:H$1002, "Work Done") + COUNTIFS('Attendence Tracker'!$A$2:$A$1002, $B16, 'Attendence Tracker'!H$2:H$1002, "Missed")</f>
        <v>4</v>
      </c>
      <c r="F16">
        <f>COUNTIFS('Attendence Tracker'!$A$2:$A$1002, $B16, 'Attendence Tracker'!I$2:I$1002, "Attended") +  + COUNTIFS('Attendence Tracker'!$A$2:$A$1002, $B16, 'Attendence Tracker'!I$2:I$1002, "Work Done") + COUNTIFS('Attendence Tracker'!$A$2:$A$1002, $B16, 'Attendence Tracker'!I$2:I$1002, "Missed")</f>
        <v>4</v>
      </c>
      <c r="G16">
        <f>COUNTIFS('Attendence Tracker'!$A$2:$A$1002, $B16, 'Attendence Tracker'!J$2:J$1002, "Attended") +  + COUNTIFS('Attendence Tracker'!$A$2:$A$1002, $B16, 'Attendence Tracker'!J$2:J$1002, "Work Done") + COUNTIFS('Attendence Tracker'!$A$2:$A$1002, $B16, 'Attendence Tracker'!J$2:J$1002, "Missed")</f>
        <v>4</v>
      </c>
      <c r="H16">
        <f>COUNTIFS('Attendence Tracker'!$A$2:$A$1002, $B16, 'Attendence Tracker'!K$2:K$1002, "Attended") +  + COUNTIFS('Attendence Tracker'!$A$2:$A$1002, $B16, 'Attendence Tracker'!K$2:K$1002, "Work Done") + COUNTIFS('Attendence Tracker'!$A$2:$A$1002, $B16, 'Attendence Tracker'!K$2:K$1002, "Missed")</f>
        <v>4</v>
      </c>
      <c r="I16">
        <f>COUNTIFS('Attendence Tracker'!$A$2:$A$1002, $B16, 'Attendence Tracker'!L$2:L$1002, "Attended") +  + COUNTIFS('Attendence Tracker'!$A$2:$A$1002, $B16, 'Attendence Tracker'!L$2:L$1002, "Work Done") + COUNTIFS('Attendence Tracker'!$A$2:$A$1002, $B16, 'Attendence Tracker'!L$2:L$1002, "Missed")</f>
        <v>4</v>
      </c>
      <c r="J16">
        <f>COUNTIFS('Attendence Tracker'!$A$2:$A$1002, $B16, 'Attendence Tracker'!M$2:M$1002, "Attended") +  + COUNTIFS('Attendence Tracker'!$A$2:$A$1002, $B16, 'Attendence Tracker'!M$2:M$1002, "Work Done") + COUNTIFS('Attendence Tracker'!$A$2:$A$1002, $B16, 'Attendence Tracker'!M$2:M$1002, "Missed")</f>
        <v>4</v>
      </c>
      <c r="K16">
        <f>COUNTIFS('Attendence Tracker'!$A$2:$A$1002, $B16, 'Attendence Tracker'!N$2:N$1002, "Attended") +  + COUNTIFS('Attendence Tracker'!$A$2:$A$1002, $B16, 'Attendence Tracker'!N$2:N$1002, "Work Done") + COUNTIFS('Attendence Tracker'!$A$2:$A$1002, $B16, 'Attendence Tracker'!N$2:N$1002, "Missed")</f>
        <v>4</v>
      </c>
      <c r="L16">
        <f>COUNTIFS('Attendence Tracker'!$A$2:$A$1002, $B16, 'Attendence Tracker'!O$2:O$1002, "Attended") +  + COUNTIFS('Attendence Tracker'!$A$2:$A$1002, $B16, 'Attendence Tracker'!O$2:O$1002, "Work Done") + COUNTIFS('Attendence Tracker'!$A$2:$A$1002, $B16, 'Attendence Tracker'!O$2:O$1002, "Missed")</f>
        <v>4</v>
      </c>
      <c r="M16">
        <f>COUNTIFS('Attendence Tracker'!$A$2:$A$1002, $B16, 'Attendence Tracker'!P$2:P$1002, "Attended") +  + COUNTIFS('Attendence Tracker'!$A$2:$A$1002, $B16, 'Attendence Tracker'!P$2:P$1002, "Work Done") + COUNTIFS('Attendence Tracker'!$A$2:$A$1002, $B16, 'Attendence Tracker'!P$2:P$1002, "Missed")</f>
        <v>3</v>
      </c>
      <c r="N16">
        <f>COUNTIFS('Attendence Tracker'!$A$2:$A$1002, $B16, 'Attendence Tracker'!Q$2:Q$1002, "Attended") +  + COUNTIFS('Attendence Tracker'!$A$2:$A$1002, $B16, 'Attendence Tracker'!Q$2:Q$1002, "Work Done") + COUNTIFS('Attendence Tracker'!$A$2:$A$1002, $B16, 'Attendence Tracker'!Q$2:Q$1002, "Missed")</f>
        <v>4</v>
      </c>
      <c r="O16">
        <f>COUNTIFS('Attendence Tracker'!$A$2:$A$1002, $B16, 'Attendence Tracker'!R$2:R$1002, "Attended") +  + COUNTIFS('Attendence Tracker'!$A$2:$A$1002, $B16, 'Attendence Tracker'!R$2:R$1002, "Work Done") + COUNTIFS('Attendence Tracker'!$A$2:$A$1002, $B16, 'Attendence Tracker'!R$2:R$1002, "Missed")</f>
        <v>4</v>
      </c>
      <c r="P16">
        <f>COUNTIFS('Attendence Tracker'!$A$2:$A$1002, $B16, 'Attendence Tracker'!S$2:S$1002, "Attended") +  + COUNTIFS('Attendence Tracker'!$A$2:$A$1002, $B16, 'Attendence Tracker'!S$2:S$1002, "Work Done") + COUNTIFS('Attendence Tracker'!$A$2:$A$1002, $B16, 'Attendence Tracker'!S$2:S$1002, "Missed")</f>
        <v>3</v>
      </c>
      <c r="Q16">
        <f>COUNTIFS('Attendence Tracker'!$A$2:$A$1002, $B16, 'Attendence Tracker'!T$2:T$1002, "Attended") +  + COUNTIFS('Attendence Tracker'!$A$2:$A$1002, $B16, 'Attendence Tracker'!T$2:T$1002, "Work Done") + COUNTIFS('Attendence Tracker'!$A$2:$A$1002, $B16, 'Attendence Tracker'!T$2:T$1002, "Missed")</f>
        <v>3</v>
      </c>
      <c r="R16">
        <f>COUNTIFS('Attendence Tracker'!$A$2:$A$1002, $B16, 'Attendence Tracker'!U$2:U$1002, "Attended") +  + COUNTIFS('Attendence Tracker'!$A$2:$A$1002, $B16, 'Attendence Tracker'!U$2:U$1002, "Work Done") + COUNTIFS('Attendence Tracker'!$A$2:$A$1002, $B16, 'Attendence Tracker'!U$2:U$1002, "Missed")</f>
        <v>3</v>
      </c>
      <c r="S16">
        <f>COUNTIFS('Attendence Tracker'!$A$2:$A$1002, $B16, 'Attendence Tracker'!V$2:V$1002, "Attended") +  + COUNTIFS('Attendence Tracker'!$A$2:$A$1002, $B16, 'Attendence Tracker'!V$2:V$1002, "Work Done") + COUNTIFS('Attendence Tracker'!$A$2:$A$1002, $B16, 'Attendence Tracker'!V$2:V$1002, "Missed")</f>
        <v>3</v>
      </c>
      <c r="T16">
        <f>COUNTIFS('Attendence Tracker'!$A$2:$A$1002, $B16, 'Attendence Tracker'!W$2:W$1002, "Attended") +  + COUNTIFS('Attendence Tracker'!$A$2:$A$1002, $B16, 'Attendence Tracker'!W$2:W$1002, "Work Done") + COUNTIFS('Attendence Tracker'!$A$2:$A$1002, $B16, 'Attendence Tracker'!W$2:W$1002, "Missed")</f>
        <v>3</v>
      </c>
      <c r="U16">
        <f>COUNTIFS('Attendence Tracker'!$A$2:$A$1002, $B16, 'Attendence Tracker'!X$2:X$1002, "Attended") +  + COUNTIFS('Attendence Tracker'!$A$2:$A$1002, $B16, 'Attendence Tracker'!X$2:X$1002, "Work Done") + COUNTIFS('Attendence Tracker'!$A$2:$A$1002, $B16, 'Attendence Tracker'!X$2:X$1002, "Missed")</f>
        <v>3</v>
      </c>
      <c r="V16">
        <f>COUNTIFS('Attendence Tracker'!$A$2:$A$1002, $B16, 'Attendence Tracker'!Y$2:Y$1002, "Attended") +  + COUNTIFS('Attendence Tracker'!$A$2:$A$1002, $B16, 'Attendence Tracker'!Y$2:Y$1002, "Work Done") + COUNTIFS('Attendence Tracker'!$A$2:$A$1002, $B16, 'Attendence Tracker'!Y$2:Y$1002, "Missed")</f>
        <v>2</v>
      </c>
      <c r="W16">
        <f>COUNTIFS('Attendence Tracker'!$A$2:$A$1002, $B16, 'Attendence Tracker'!Z$2:Z$1002, "Attended") +  + COUNTIFS('Attendence Tracker'!$A$2:$A$1002, $B16, 'Attendence Tracker'!Z$2:Z$1002, "Work Done") + COUNTIFS('Attendence Tracker'!$A$2:$A$1002, $B16, 'Attendence Tracker'!Z$2:Z$1002, "Missed")</f>
        <v>0</v>
      </c>
      <c r="X16">
        <f>COUNTIFS('Attendence Tracker'!$A$2:$A$1002, $B16, 'Attendence Tracker'!AA$2:AA$1002, "Attended") +  + COUNTIFS('Attendence Tracker'!$A$2:$A$1002, $B16, 'Attendence Tracker'!AA$2:AA$1002, "Work Done") + COUNTIFS('Attendence Tracker'!$A$2:$A$1002, $B16, 'Attendence Tracker'!AA$2:AA$1002, "Missed")</f>
        <v>0</v>
      </c>
      <c r="Y16">
        <f>COUNTIFS('Attendence Tracker'!$A$2:$A$1002, $B16, 'Attendence Tracker'!AB$2:AB$1002, "Attended") +  + COUNTIFS('Attendence Tracker'!$A$2:$A$1002, $B16, 'Attendence Tracker'!AB$2:AB$1002, "Work Done") + COUNTIFS('Attendence Tracker'!$A$2:$A$1002, $B16, 'Attendence Tracker'!AB$2:AB$1002, "Missed")</f>
        <v>0</v>
      </c>
      <c r="Z16">
        <f>COUNTIFS('Attendence Tracker'!$A$2:$A$1002, $B16, 'Attendence Tracker'!AC$2:AC$1002, "Attended") +  + COUNTIFS('Attendence Tracker'!$A$2:$A$1002, $B16, 'Attendence Tracker'!AC$2:AC$1002, "Work Done") + COUNTIFS('Attendence Tracker'!$A$2:$A$1002, $B16, 'Attendence Tracker'!AC$2:AC$1002, "Missed")</f>
        <v>0</v>
      </c>
      <c r="AA16">
        <f>COUNTIFS('Attendence Tracker'!$A$2:$A$1002, $B16, 'Attendence Tracker'!AD$2:AD$1002, "Attended") +  + COUNTIFS('Attendence Tracker'!$A$2:$A$1002, $B16, 'Attendence Tracker'!AD$2:AD$1002, "Work Done") + COUNTIFS('Attendence Tracker'!$A$2:$A$1002, $B16, 'Attendence Tracker'!AD$2:AD$1002, "Missed")</f>
        <v>0</v>
      </c>
      <c r="AB16">
        <f>COUNTIFS('Attendence Tracker'!$A$2:$A$1002, $B16, 'Attendence Tracker'!AE$2:AE$1002, "Attended") +  + COUNTIFS('Attendence Tracker'!$A$2:$A$1002, $B16, 'Attendence Tracker'!AE$2:AE$1002, "Work Done") + COUNTIFS('Attendence Tracker'!$A$2:$A$1002, $B16, 'Attendence Tracker'!AE$2:AE$1002, "Missed")</f>
        <v>0</v>
      </c>
      <c r="AC16">
        <f>COUNTIFS('Attendence Tracker'!$A$2:$A$1002, $B16, 'Attendence Tracker'!AF$2:AF$1002, "Attended") +  + COUNTIFS('Attendence Tracker'!$A$2:$A$1002, $B16, 'Attendence Tracker'!AF$2:AF$1002, "Work Done") + COUNTIFS('Attendence Tracker'!$A$2:$A$1002, $B16, 'Attendence Tracker'!AF$2:AF$1002, "Missed")</f>
        <v>0</v>
      </c>
      <c r="AD16">
        <f>COUNTIFS('Attendence Tracker'!$A$2:$A$1002, $B16, 'Attendence Tracker'!AG$2:AG$1002, "Attended") +  + COUNTIFS('Attendence Tracker'!$A$2:$A$1002, $B16, 'Attendence Tracker'!AG$2:AG$1002, "Work Done") + COUNTIFS('Attendence Tracker'!$A$2:$A$1002, $B16, 'Attendence Tracker'!AG$2:AG$1002, "Missed")</f>
        <v>0</v>
      </c>
      <c r="AE16">
        <f>COUNTIFS('Attendence Tracker'!$A$2:$A$1002, $B16, 'Attendence Tracker'!AH$2:AH$1002, "Attended") +  + COUNTIFS('Attendence Tracker'!$A$2:$A$1002, $B16, 'Attendence Tracker'!AH$2:AH$1002, "Work Done") + COUNTIFS('Attendence Tracker'!$A$2:$A$1002, $B16, 'Attendence Tracker'!AH$2:AH$1002, "Missed")</f>
        <v>0</v>
      </c>
      <c r="AF16">
        <f>COUNTIFS('Attendence Tracker'!$A$2:$A$1002, $B16, 'Attendence Tracker'!AI$2:AI$1002, "Attended") +  + COUNTIFS('Attendence Tracker'!$A$2:$A$1002, $B16, 'Attendence Tracker'!AI$2:AI$1002, "Work Done") + COUNTIFS('Attendence Tracker'!$A$2:$A$1002, $B16, 'Attendence Tracker'!AI$2:AI$1002, "Missed")</f>
        <v>0</v>
      </c>
      <c r="AG16">
        <f t="shared" si="2"/>
        <v>70</v>
      </c>
    </row>
    <row r="17" spans="2:33" x14ac:dyDescent="0.35">
      <c r="B17" t="s">
        <v>21</v>
      </c>
      <c r="C17">
        <f>COUNTIFS('Attendence Tracker'!$A$2:$A$1002, $B17, 'Attendence Tracker'!F$2:F$1002, "Attended") +  + COUNTIFS('Attendence Tracker'!$A$2:$A$1002, $B17, 'Attendence Tracker'!F$2:F$1002, "Work Done") + COUNTIFS('Attendence Tracker'!$A$2:$A$1002, $B17, 'Attendence Tracker'!F$2:F$1002, "Missed")</f>
        <v>2</v>
      </c>
      <c r="D17">
        <f>COUNTIFS('Attendence Tracker'!$A$2:$A$1002, $B17, 'Attendence Tracker'!G$2:G$1002, "Attended") +  + COUNTIFS('Attendence Tracker'!$A$2:$A$1002, $B17, 'Attendence Tracker'!G$2:G$1002, "Work Done") + COUNTIFS('Attendence Tracker'!$A$2:$A$1002, $B17, 'Attendence Tracker'!G$2:G$1002, "Missed")</f>
        <v>3</v>
      </c>
      <c r="E17">
        <f>COUNTIFS('Attendence Tracker'!$A$2:$A$1002, $B17, 'Attendence Tracker'!H$2:H$1002, "Attended") +  + COUNTIFS('Attendence Tracker'!$A$2:$A$1002, $B17, 'Attendence Tracker'!H$2:H$1002, "Work Done") + COUNTIFS('Attendence Tracker'!$A$2:$A$1002, $B17, 'Attendence Tracker'!H$2:H$1002, "Missed")</f>
        <v>4</v>
      </c>
      <c r="F17">
        <f>COUNTIFS('Attendence Tracker'!$A$2:$A$1002, $B17, 'Attendence Tracker'!I$2:I$1002, "Attended") +  + COUNTIFS('Attendence Tracker'!$A$2:$A$1002, $B17, 'Attendence Tracker'!I$2:I$1002, "Work Done") + COUNTIFS('Attendence Tracker'!$A$2:$A$1002, $B17, 'Attendence Tracker'!I$2:I$1002, "Missed")</f>
        <v>3</v>
      </c>
      <c r="G17">
        <f>COUNTIFS('Attendence Tracker'!$A$2:$A$1002, $B17, 'Attendence Tracker'!J$2:J$1002, "Attended") +  + COUNTIFS('Attendence Tracker'!$A$2:$A$1002, $B17, 'Attendence Tracker'!J$2:J$1002, "Work Done") + COUNTIFS('Attendence Tracker'!$A$2:$A$1002, $B17, 'Attendence Tracker'!J$2:J$1002, "Missed")</f>
        <v>3</v>
      </c>
      <c r="H17">
        <f>COUNTIFS('Attendence Tracker'!$A$2:$A$1002, $B17, 'Attendence Tracker'!K$2:K$1002, "Attended") +  + COUNTIFS('Attendence Tracker'!$A$2:$A$1002, $B17, 'Attendence Tracker'!K$2:K$1002, "Work Done") + COUNTIFS('Attendence Tracker'!$A$2:$A$1002, $B17, 'Attendence Tracker'!K$2:K$1002, "Missed")</f>
        <v>2</v>
      </c>
      <c r="I17">
        <f>COUNTIFS('Attendence Tracker'!$A$2:$A$1002, $B17, 'Attendence Tracker'!L$2:L$1002, "Attended") +  + COUNTIFS('Attendence Tracker'!$A$2:$A$1002, $B17, 'Attendence Tracker'!L$2:L$1002, "Work Done") + COUNTIFS('Attendence Tracker'!$A$2:$A$1002, $B17, 'Attendence Tracker'!L$2:L$1002, "Missed")</f>
        <v>4</v>
      </c>
      <c r="J17">
        <f>COUNTIFS('Attendence Tracker'!$A$2:$A$1002, $B17, 'Attendence Tracker'!M$2:M$1002, "Attended") +  + COUNTIFS('Attendence Tracker'!$A$2:$A$1002, $B17, 'Attendence Tracker'!M$2:M$1002, "Work Done") + COUNTIFS('Attendence Tracker'!$A$2:$A$1002, $B17, 'Attendence Tracker'!M$2:M$1002, "Missed")</f>
        <v>2</v>
      </c>
      <c r="K17">
        <f>COUNTIFS('Attendence Tracker'!$A$2:$A$1002, $B17, 'Attendence Tracker'!N$2:N$1002, "Attended") +  + COUNTIFS('Attendence Tracker'!$A$2:$A$1002, $B17, 'Attendence Tracker'!N$2:N$1002, "Work Done") + COUNTIFS('Attendence Tracker'!$A$2:$A$1002, $B17, 'Attendence Tracker'!N$2:N$1002, "Missed")</f>
        <v>4</v>
      </c>
      <c r="L17">
        <f>COUNTIFS('Attendence Tracker'!$A$2:$A$1002, $B17, 'Attendence Tracker'!O$2:O$1002, "Attended") +  + COUNTIFS('Attendence Tracker'!$A$2:$A$1002, $B17, 'Attendence Tracker'!O$2:O$1002, "Work Done") + COUNTIFS('Attendence Tracker'!$A$2:$A$1002, $B17, 'Attendence Tracker'!O$2:O$1002, "Missed")</f>
        <v>3</v>
      </c>
      <c r="M17">
        <f>COUNTIFS('Attendence Tracker'!$A$2:$A$1002, $B17, 'Attendence Tracker'!P$2:P$1002, "Attended") +  + COUNTIFS('Attendence Tracker'!$A$2:$A$1002, $B17, 'Attendence Tracker'!P$2:P$1002, "Work Done") + COUNTIFS('Attendence Tracker'!$A$2:$A$1002, $B17, 'Attendence Tracker'!P$2:P$1002, "Missed")</f>
        <v>1</v>
      </c>
      <c r="N17">
        <f>COUNTIFS('Attendence Tracker'!$A$2:$A$1002, $B17, 'Attendence Tracker'!Q$2:Q$1002, "Attended") +  + COUNTIFS('Attendence Tracker'!$A$2:$A$1002, $B17, 'Attendence Tracker'!Q$2:Q$1002, "Work Done") + COUNTIFS('Attendence Tracker'!$A$2:$A$1002, $B17, 'Attendence Tracker'!Q$2:Q$1002, "Missed")</f>
        <v>3</v>
      </c>
      <c r="O17">
        <f>COUNTIFS('Attendence Tracker'!$A$2:$A$1002, $B17, 'Attendence Tracker'!R$2:R$1002, "Attended") +  + COUNTIFS('Attendence Tracker'!$A$2:$A$1002, $B17, 'Attendence Tracker'!R$2:R$1002, "Work Done") + COUNTIFS('Attendence Tracker'!$A$2:$A$1002, $B17, 'Attendence Tracker'!R$2:R$1002, "Missed")</f>
        <v>3</v>
      </c>
      <c r="P17">
        <f>COUNTIFS('Attendence Tracker'!$A$2:$A$1002, $B17, 'Attendence Tracker'!S$2:S$1002, "Attended") +  + COUNTIFS('Attendence Tracker'!$A$2:$A$1002, $B17, 'Attendence Tracker'!S$2:S$1002, "Work Done") + COUNTIFS('Attendence Tracker'!$A$2:$A$1002, $B17, 'Attendence Tracker'!S$2:S$1002, "Missed")</f>
        <v>3</v>
      </c>
      <c r="Q17">
        <f>COUNTIFS('Attendence Tracker'!$A$2:$A$1002, $B17, 'Attendence Tracker'!T$2:T$1002, "Attended") +  + COUNTIFS('Attendence Tracker'!$A$2:$A$1002, $B17, 'Attendence Tracker'!T$2:T$1002, "Work Done") + COUNTIFS('Attendence Tracker'!$A$2:$A$1002, $B17, 'Attendence Tracker'!T$2:T$1002, "Missed")</f>
        <v>3</v>
      </c>
      <c r="R17">
        <f>COUNTIFS('Attendence Tracker'!$A$2:$A$1002, $B17, 'Attendence Tracker'!U$2:U$1002, "Attended") +  + COUNTIFS('Attendence Tracker'!$A$2:$A$1002, $B17, 'Attendence Tracker'!U$2:U$1002, "Work Done") + COUNTIFS('Attendence Tracker'!$A$2:$A$1002, $B17, 'Attendence Tracker'!U$2:U$1002, "Missed")</f>
        <v>3</v>
      </c>
      <c r="S17">
        <f>COUNTIFS('Attendence Tracker'!$A$2:$A$1002, $B17, 'Attendence Tracker'!V$2:V$1002, "Attended") +  + COUNTIFS('Attendence Tracker'!$A$2:$A$1002, $B17, 'Attendence Tracker'!V$2:V$1002, "Work Done") + COUNTIFS('Attendence Tracker'!$A$2:$A$1002, $B17, 'Attendence Tracker'!V$2:V$1002, "Missed")</f>
        <v>3</v>
      </c>
      <c r="T17">
        <f>COUNTIFS('Attendence Tracker'!$A$2:$A$1002, $B17, 'Attendence Tracker'!W$2:W$1002, "Attended") +  + COUNTIFS('Attendence Tracker'!$A$2:$A$1002, $B17, 'Attendence Tracker'!W$2:W$1002, "Work Done") + COUNTIFS('Attendence Tracker'!$A$2:$A$1002, $B17, 'Attendence Tracker'!W$2:W$1002, "Missed")</f>
        <v>3</v>
      </c>
      <c r="U17">
        <f>COUNTIFS('Attendence Tracker'!$A$2:$A$1002, $B17, 'Attendence Tracker'!X$2:X$1002, "Attended") +  + COUNTIFS('Attendence Tracker'!$A$2:$A$1002, $B17, 'Attendence Tracker'!X$2:X$1002, "Work Done") + COUNTIFS('Attendence Tracker'!$A$2:$A$1002, $B17, 'Attendence Tracker'!X$2:X$1002, "Missed")</f>
        <v>3</v>
      </c>
      <c r="V17">
        <f>COUNTIFS('Attendence Tracker'!$A$2:$A$1002, $B17, 'Attendence Tracker'!Y$2:Y$1002, "Attended") +  + COUNTIFS('Attendence Tracker'!$A$2:$A$1002, $B17, 'Attendence Tracker'!Y$2:Y$1002, "Work Done") + COUNTIFS('Attendence Tracker'!$A$2:$A$1002, $B17, 'Attendence Tracker'!Y$2:Y$1002, "Missed")</f>
        <v>2</v>
      </c>
      <c r="W17">
        <f>COUNTIFS('Attendence Tracker'!$A$2:$A$1002, $B17, 'Attendence Tracker'!Z$2:Z$1002, "Attended") +  + COUNTIFS('Attendence Tracker'!$A$2:$A$1002, $B17, 'Attendence Tracker'!Z$2:Z$1002, "Work Done") + COUNTIFS('Attendence Tracker'!$A$2:$A$1002, $B17, 'Attendence Tracker'!Z$2:Z$1002, "Missed")</f>
        <v>0</v>
      </c>
      <c r="X17">
        <f>COUNTIFS('Attendence Tracker'!$A$2:$A$1002, $B17, 'Attendence Tracker'!AA$2:AA$1002, "Attended") +  + COUNTIFS('Attendence Tracker'!$A$2:$A$1002, $B17, 'Attendence Tracker'!AA$2:AA$1002, "Work Done") + COUNTIFS('Attendence Tracker'!$A$2:$A$1002, $B17, 'Attendence Tracker'!AA$2:AA$1002, "Missed")</f>
        <v>0</v>
      </c>
      <c r="Y17">
        <f>COUNTIFS('Attendence Tracker'!$A$2:$A$1002, $B17, 'Attendence Tracker'!AB$2:AB$1002, "Attended") +  + COUNTIFS('Attendence Tracker'!$A$2:$A$1002, $B17, 'Attendence Tracker'!AB$2:AB$1002, "Work Done") + COUNTIFS('Attendence Tracker'!$A$2:$A$1002, $B17, 'Attendence Tracker'!AB$2:AB$1002, "Missed")</f>
        <v>0</v>
      </c>
      <c r="Z17">
        <f>COUNTIFS('Attendence Tracker'!$A$2:$A$1002, $B17, 'Attendence Tracker'!AC$2:AC$1002, "Attended") +  + COUNTIFS('Attendence Tracker'!$A$2:$A$1002, $B17, 'Attendence Tracker'!AC$2:AC$1002, "Work Done") + COUNTIFS('Attendence Tracker'!$A$2:$A$1002, $B17, 'Attendence Tracker'!AC$2:AC$1002, "Missed")</f>
        <v>0</v>
      </c>
      <c r="AA17">
        <f>COUNTIFS('Attendence Tracker'!$A$2:$A$1002, $B17, 'Attendence Tracker'!AD$2:AD$1002, "Attended") +  + COUNTIFS('Attendence Tracker'!$A$2:$A$1002, $B17, 'Attendence Tracker'!AD$2:AD$1002, "Work Done") + COUNTIFS('Attendence Tracker'!$A$2:$A$1002, $B17, 'Attendence Tracker'!AD$2:AD$1002, "Missed")</f>
        <v>0</v>
      </c>
      <c r="AB17">
        <f>COUNTIFS('Attendence Tracker'!$A$2:$A$1002, $B17, 'Attendence Tracker'!AE$2:AE$1002, "Attended") +  + COUNTIFS('Attendence Tracker'!$A$2:$A$1002, $B17, 'Attendence Tracker'!AE$2:AE$1002, "Work Done") + COUNTIFS('Attendence Tracker'!$A$2:$A$1002, $B17, 'Attendence Tracker'!AE$2:AE$1002, "Missed")</f>
        <v>0</v>
      </c>
      <c r="AC17">
        <f>COUNTIFS('Attendence Tracker'!$A$2:$A$1002, $B17, 'Attendence Tracker'!AF$2:AF$1002, "Attended") +  + COUNTIFS('Attendence Tracker'!$A$2:$A$1002, $B17, 'Attendence Tracker'!AF$2:AF$1002, "Work Done") + COUNTIFS('Attendence Tracker'!$A$2:$A$1002, $B17, 'Attendence Tracker'!AF$2:AF$1002, "Missed")</f>
        <v>0</v>
      </c>
      <c r="AD17">
        <f>COUNTIFS('Attendence Tracker'!$A$2:$A$1002, $B17, 'Attendence Tracker'!AG$2:AG$1002, "Attended") +  + COUNTIFS('Attendence Tracker'!$A$2:$A$1002, $B17, 'Attendence Tracker'!AG$2:AG$1002, "Work Done") + COUNTIFS('Attendence Tracker'!$A$2:$A$1002, $B17, 'Attendence Tracker'!AG$2:AG$1002, "Missed")</f>
        <v>0</v>
      </c>
      <c r="AE17">
        <f>COUNTIFS('Attendence Tracker'!$A$2:$A$1002, $B17, 'Attendence Tracker'!AH$2:AH$1002, "Attended") +  + COUNTIFS('Attendence Tracker'!$A$2:$A$1002, $B17, 'Attendence Tracker'!AH$2:AH$1002, "Work Done") + COUNTIFS('Attendence Tracker'!$A$2:$A$1002, $B17, 'Attendence Tracker'!AH$2:AH$1002, "Missed")</f>
        <v>0</v>
      </c>
      <c r="AF17">
        <f>COUNTIFS('Attendence Tracker'!$A$2:$A$1002, $B17, 'Attendence Tracker'!AI$2:AI$1002, "Attended") +  + COUNTIFS('Attendence Tracker'!$A$2:$A$1002, $B17, 'Attendence Tracker'!AI$2:AI$1002, "Work Done") + COUNTIFS('Attendence Tracker'!$A$2:$A$1002, $B17, 'Attendence Tracker'!AI$2:AI$1002, "Missed")</f>
        <v>0</v>
      </c>
      <c r="AG17">
        <f t="shared" si="2"/>
        <v>57</v>
      </c>
    </row>
    <row r="18" spans="2:33" ht="15" thickBot="1" x14ac:dyDescent="0.4">
      <c r="B18" s="60" t="s">
        <v>120</v>
      </c>
      <c r="C18" s="59">
        <f>SUM(C13:C17)</f>
        <v>11</v>
      </c>
      <c r="D18" s="59">
        <f t="shared" ref="D18" si="3">SUM(D13:D17)</f>
        <v>16</v>
      </c>
      <c r="E18" s="59">
        <f t="shared" ref="E18" si="4">SUM(E13:E17)</f>
        <v>17</v>
      </c>
      <c r="F18" s="59">
        <f t="shared" ref="F18" si="5">SUM(F13:F17)</f>
        <v>16</v>
      </c>
      <c r="G18" s="59">
        <f t="shared" ref="G18" si="6">SUM(G13:G17)</f>
        <v>16</v>
      </c>
      <c r="H18" s="59">
        <f t="shared" ref="H18" si="7">SUM(H13:H17)</f>
        <v>15</v>
      </c>
      <c r="I18" s="59">
        <f t="shared" ref="I18" si="8">SUM(I13:I17)</f>
        <v>16</v>
      </c>
      <c r="J18" s="59">
        <f t="shared" ref="J18" si="9">SUM(J13:J17)</f>
        <v>15</v>
      </c>
      <c r="K18" s="59">
        <f t="shared" ref="K18" si="10">SUM(K13:K17)</f>
        <v>17</v>
      </c>
      <c r="L18" s="59">
        <f t="shared" ref="L18" si="11">SUM(L13:L17)</f>
        <v>16</v>
      </c>
      <c r="M18" s="59">
        <f t="shared" ref="M18" si="12">SUM(M13:M17)</f>
        <v>12</v>
      </c>
      <c r="N18" s="59">
        <f t="shared" ref="N18" si="13">SUM(N13:N17)</f>
        <v>16</v>
      </c>
      <c r="O18" s="59">
        <f t="shared" ref="O18" si="14">SUM(O13:O17)</f>
        <v>15</v>
      </c>
      <c r="P18" s="59">
        <f t="shared" ref="P18" si="15">SUM(P13:P17)</f>
        <v>13</v>
      </c>
      <c r="Q18" s="59">
        <f t="shared" ref="Q18" si="16">SUM(Q13:Q17)</f>
        <v>13</v>
      </c>
      <c r="R18" s="59">
        <f t="shared" ref="R18" si="17">SUM(R13:R17)</f>
        <v>13</v>
      </c>
      <c r="S18" s="59">
        <f t="shared" ref="S18" si="18">SUM(S13:S17)</f>
        <v>13</v>
      </c>
      <c r="T18" s="59">
        <f t="shared" ref="T18" si="19">SUM(T13:T17)</f>
        <v>13</v>
      </c>
      <c r="U18" s="59">
        <f t="shared" ref="U18" si="20">SUM(U13:U17)</f>
        <v>14</v>
      </c>
      <c r="V18" s="59">
        <f t="shared" ref="V18" si="21">SUM(V13:V17)</f>
        <v>10</v>
      </c>
      <c r="W18" s="59">
        <f t="shared" ref="W18" si="22">SUM(W13:W17)</f>
        <v>0</v>
      </c>
      <c r="X18" s="59">
        <f t="shared" ref="X18" si="23">SUM(X13:X17)</f>
        <v>0</v>
      </c>
      <c r="Y18" s="59">
        <f t="shared" ref="Y18" si="24">SUM(Y13:Y17)</f>
        <v>0</v>
      </c>
      <c r="Z18" s="59">
        <f t="shared" ref="Z18" si="25">SUM(Z13:Z17)</f>
        <v>0</v>
      </c>
      <c r="AA18" s="59">
        <f t="shared" ref="AA18" si="26">SUM(AA13:AA17)</f>
        <v>0</v>
      </c>
      <c r="AB18" s="59">
        <f t="shared" ref="AB18" si="27">SUM(AB13:AB17)</f>
        <v>0</v>
      </c>
      <c r="AC18" s="59">
        <f t="shared" ref="AC18" si="28">SUM(AC13:AC17)</f>
        <v>0</v>
      </c>
      <c r="AD18" s="59">
        <f t="shared" ref="AD18" si="29">SUM(AD13:AD17)</f>
        <v>0</v>
      </c>
      <c r="AE18" s="59">
        <f t="shared" ref="AE18" si="30">SUM(AE13:AE17)</f>
        <v>0</v>
      </c>
      <c r="AF18" s="59">
        <f t="shared" ref="AF18" si="31">SUM(AF13:AF17)</f>
        <v>0</v>
      </c>
      <c r="AG18" s="59">
        <f t="shared" si="2"/>
        <v>287</v>
      </c>
    </row>
    <row r="19" spans="2:33" ht="15" thickTop="1" x14ac:dyDescent="0.35"/>
    <row r="20" spans="2:33" x14ac:dyDescent="0.35">
      <c r="B20" s="1" t="s">
        <v>42</v>
      </c>
    </row>
    <row r="21" spans="2:33" x14ac:dyDescent="0.35">
      <c r="B21" s="1"/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47</v>
      </c>
      <c r="N21" t="s">
        <v>48</v>
      </c>
      <c r="O21" t="s">
        <v>49</v>
      </c>
      <c r="P21" t="s">
        <v>50</v>
      </c>
      <c r="Q21" t="s">
        <v>43</v>
      </c>
      <c r="R21" t="s">
        <v>51</v>
      </c>
      <c r="S21" t="s">
        <v>52</v>
      </c>
      <c r="T21" t="s">
        <v>53</v>
      </c>
      <c r="U21" t="s">
        <v>54</v>
      </c>
      <c r="V21" t="s">
        <v>44</v>
      </c>
      <c r="W21" t="s">
        <v>55</v>
      </c>
      <c r="X21" t="s">
        <v>56</v>
      </c>
      <c r="Y21" t="s">
        <v>57</v>
      </c>
      <c r="Z21" t="s">
        <v>58</v>
      </c>
      <c r="AA21" t="s">
        <v>45</v>
      </c>
      <c r="AB21" t="s">
        <v>59</v>
      </c>
      <c r="AC21" t="s">
        <v>60</v>
      </c>
      <c r="AD21" t="s">
        <v>61</v>
      </c>
      <c r="AE21" t="s">
        <v>62</v>
      </c>
      <c r="AF21" t="s">
        <v>46</v>
      </c>
      <c r="AG21" s="1" t="s">
        <v>121</v>
      </c>
    </row>
    <row r="22" spans="2:33" x14ac:dyDescent="0.35">
      <c r="B22" t="s">
        <v>17</v>
      </c>
      <c r="C22" s="2">
        <f t="shared" ref="C22:L22" si="32">IF(C13=0, 0, C4/C13)</f>
        <v>0</v>
      </c>
      <c r="D22" s="2">
        <f t="shared" si="32"/>
        <v>1</v>
      </c>
      <c r="E22" s="2">
        <f t="shared" si="32"/>
        <v>0.5</v>
      </c>
      <c r="F22" s="2">
        <f t="shared" si="32"/>
        <v>0</v>
      </c>
      <c r="G22" s="2">
        <f t="shared" si="32"/>
        <v>0.5</v>
      </c>
      <c r="H22" s="2">
        <f t="shared" si="32"/>
        <v>0.5</v>
      </c>
      <c r="I22" s="2">
        <f t="shared" si="32"/>
        <v>0.75</v>
      </c>
      <c r="J22" s="2">
        <f t="shared" si="32"/>
        <v>0</v>
      </c>
      <c r="K22" s="2">
        <f t="shared" si="32"/>
        <v>0.5</v>
      </c>
      <c r="L22" s="2">
        <f t="shared" si="32"/>
        <v>0.5</v>
      </c>
      <c r="M22" s="2">
        <f>IF(M13=0, 0, M4/M13)</f>
        <v>1</v>
      </c>
      <c r="N22" s="2">
        <f t="shared" ref="N22:AF22" si="33">IF(N13=0, 0, N4/N13)</f>
        <v>0.66666666666666663</v>
      </c>
      <c r="O22" s="2">
        <f t="shared" si="33"/>
        <v>0.33333333333333331</v>
      </c>
      <c r="P22" s="2">
        <f t="shared" si="33"/>
        <v>0.66666666666666663</v>
      </c>
      <c r="Q22" s="2">
        <f t="shared" si="33"/>
        <v>0.33333333333333331</v>
      </c>
      <c r="R22" s="2">
        <f t="shared" si="33"/>
        <v>0</v>
      </c>
      <c r="S22" s="2">
        <f t="shared" si="33"/>
        <v>0.33333333333333331</v>
      </c>
      <c r="T22" s="2">
        <f t="shared" si="33"/>
        <v>0.33333333333333331</v>
      </c>
      <c r="U22" s="2">
        <f t="shared" si="33"/>
        <v>0.33333333333333331</v>
      </c>
      <c r="V22" s="2">
        <f t="shared" si="33"/>
        <v>0</v>
      </c>
      <c r="W22" s="2">
        <f t="shared" si="33"/>
        <v>0</v>
      </c>
      <c r="X22" s="2">
        <f t="shared" si="33"/>
        <v>0</v>
      </c>
      <c r="Y22" s="2">
        <f t="shared" si="33"/>
        <v>0</v>
      </c>
      <c r="Z22" s="2">
        <f t="shared" si="33"/>
        <v>0</v>
      </c>
      <c r="AA22" s="2">
        <f t="shared" si="33"/>
        <v>0</v>
      </c>
      <c r="AB22" s="2">
        <f t="shared" si="33"/>
        <v>0</v>
      </c>
      <c r="AC22" s="2">
        <f t="shared" si="33"/>
        <v>0</v>
      </c>
      <c r="AD22" s="2">
        <f t="shared" si="33"/>
        <v>0</v>
      </c>
      <c r="AE22" s="2">
        <f t="shared" si="33"/>
        <v>0</v>
      </c>
      <c r="AF22" s="2">
        <f t="shared" si="33"/>
        <v>0</v>
      </c>
      <c r="AG22" s="2">
        <f>AG4/AG13</f>
        <v>0.4264705882352941</v>
      </c>
    </row>
    <row r="23" spans="2:33" x14ac:dyDescent="0.35">
      <c r="B23" t="s">
        <v>18</v>
      </c>
      <c r="C23" s="2">
        <f t="shared" ref="C23:M23" si="34">IF(C14=0, 0, C5/C14)</f>
        <v>0</v>
      </c>
      <c r="D23" s="2">
        <f t="shared" si="34"/>
        <v>1</v>
      </c>
      <c r="E23" s="2">
        <f t="shared" si="34"/>
        <v>0.33333333333333331</v>
      </c>
      <c r="F23" s="2">
        <f t="shared" si="34"/>
        <v>0</v>
      </c>
      <c r="G23" s="2">
        <f t="shared" si="34"/>
        <v>0.66666666666666663</v>
      </c>
      <c r="H23" s="2">
        <f t="shared" si="34"/>
        <v>0.33333333333333331</v>
      </c>
      <c r="I23" s="2">
        <f t="shared" si="34"/>
        <v>0.33333333333333331</v>
      </c>
      <c r="J23" s="2">
        <f t="shared" si="34"/>
        <v>0.33333333333333331</v>
      </c>
      <c r="K23" s="2">
        <f t="shared" si="34"/>
        <v>0.33333333333333331</v>
      </c>
      <c r="L23" s="2">
        <f t="shared" si="34"/>
        <v>0</v>
      </c>
      <c r="M23" s="2">
        <f t="shared" si="34"/>
        <v>1</v>
      </c>
      <c r="N23" s="2">
        <f t="shared" ref="N23:AF23" si="35">IF(N14=0, 0, N5/N14)</f>
        <v>0.66666666666666663</v>
      </c>
      <c r="O23" s="2">
        <f t="shared" si="35"/>
        <v>0.33333333333333331</v>
      </c>
      <c r="P23" s="2">
        <f t="shared" si="35"/>
        <v>1</v>
      </c>
      <c r="Q23" s="2">
        <f t="shared" si="35"/>
        <v>0.5</v>
      </c>
      <c r="R23" s="2">
        <f t="shared" si="35"/>
        <v>0</v>
      </c>
      <c r="S23" s="2">
        <f t="shared" si="35"/>
        <v>0.5</v>
      </c>
      <c r="T23" s="2">
        <f t="shared" si="35"/>
        <v>0.5</v>
      </c>
      <c r="U23" s="2">
        <f t="shared" si="35"/>
        <v>0.5</v>
      </c>
      <c r="V23" s="2">
        <f t="shared" si="35"/>
        <v>0.5</v>
      </c>
      <c r="W23" s="2">
        <f t="shared" si="35"/>
        <v>0</v>
      </c>
      <c r="X23" s="2">
        <f t="shared" si="35"/>
        <v>0</v>
      </c>
      <c r="Y23" s="2">
        <f t="shared" si="35"/>
        <v>0</v>
      </c>
      <c r="Z23" s="2">
        <f t="shared" si="35"/>
        <v>0</v>
      </c>
      <c r="AA23" s="2">
        <f t="shared" si="35"/>
        <v>0</v>
      </c>
      <c r="AB23" s="2">
        <f t="shared" si="35"/>
        <v>0</v>
      </c>
      <c r="AC23" s="2">
        <f t="shared" si="35"/>
        <v>0</v>
      </c>
      <c r="AD23" s="2">
        <f t="shared" si="35"/>
        <v>0</v>
      </c>
      <c r="AE23" s="2">
        <f t="shared" si="35"/>
        <v>0</v>
      </c>
      <c r="AF23" s="2">
        <f t="shared" si="35"/>
        <v>0</v>
      </c>
      <c r="AG23" s="2">
        <f t="shared" ref="AG23:AG27" si="36">AG5/AG14</f>
        <v>0.44230769230769229</v>
      </c>
    </row>
    <row r="24" spans="2:33" x14ac:dyDescent="0.35">
      <c r="B24" t="s">
        <v>19</v>
      </c>
      <c r="C24" s="2">
        <f t="shared" ref="C24:M24" si="37">IF(C15=0, 0, C6/C15)</f>
        <v>0</v>
      </c>
      <c r="D24" s="2">
        <f t="shared" si="37"/>
        <v>0</v>
      </c>
      <c r="E24" s="2">
        <f t="shared" si="37"/>
        <v>0</v>
      </c>
      <c r="F24" s="2">
        <f t="shared" si="37"/>
        <v>0.5</v>
      </c>
      <c r="G24" s="2">
        <f t="shared" si="37"/>
        <v>0</v>
      </c>
      <c r="H24" s="2">
        <f t="shared" si="37"/>
        <v>0</v>
      </c>
      <c r="I24" s="2">
        <f t="shared" si="37"/>
        <v>0</v>
      </c>
      <c r="J24" s="2">
        <f t="shared" si="37"/>
        <v>0</v>
      </c>
      <c r="K24" s="2">
        <f t="shared" si="37"/>
        <v>0</v>
      </c>
      <c r="L24" s="2">
        <f t="shared" si="37"/>
        <v>0</v>
      </c>
      <c r="M24" s="2">
        <f t="shared" si="37"/>
        <v>0</v>
      </c>
      <c r="N24" s="2">
        <f t="shared" ref="N24:AF24" si="38">IF(N15=0, 0, N6/N15)</f>
        <v>0.33333333333333331</v>
      </c>
      <c r="O24" s="2">
        <f t="shared" si="38"/>
        <v>0</v>
      </c>
      <c r="P24" s="2">
        <f t="shared" si="38"/>
        <v>0</v>
      </c>
      <c r="Q24" s="2">
        <f t="shared" si="38"/>
        <v>0</v>
      </c>
      <c r="R24" s="2">
        <f t="shared" si="38"/>
        <v>0</v>
      </c>
      <c r="S24" s="2">
        <f t="shared" si="38"/>
        <v>0</v>
      </c>
      <c r="T24" s="2">
        <f t="shared" si="38"/>
        <v>0</v>
      </c>
      <c r="U24" s="2">
        <f t="shared" si="38"/>
        <v>0.33333333333333331</v>
      </c>
      <c r="V24" s="2">
        <f t="shared" si="38"/>
        <v>0</v>
      </c>
      <c r="W24" s="2">
        <f t="shared" si="38"/>
        <v>0</v>
      </c>
      <c r="X24" s="2">
        <f t="shared" si="38"/>
        <v>0</v>
      </c>
      <c r="Y24" s="2">
        <f t="shared" si="38"/>
        <v>0</v>
      </c>
      <c r="Z24" s="2">
        <f t="shared" si="38"/>
        <v>0</v>
      </c>
      <c r="AA24" s="2">
        <f t="shared" si="38"/>
        <v>0</v>
      </c>
      <c r="AB24" s="2">
        <f t="shared" si="38"/>
        <v>0</v>
      </c>
      <c r="AC24" s="2">
        <f t="shared" si="38"/>
        <v>0</v>
      </c>
      <c r="AD24" s="2">
        <f t="shared" si="38"/>
        <v>0</v>
      </c>
      <c r="AE24" s="2">
        <f t="shared" si="38"/>
        <v>0</v>
      </c>
      <c r="AF24" s="2">
        <f t="shared" si="38"/>
        <v>0</v>
      </c>
      <c r="AG24" s="2">
        <f t="shared" si="36"/>
        <v>7.4999999999999997E-2</v>
      </c>
    </row>
    <row r="25" spans="2:33" x14ac:dyDescent="0.35">
      <c r="B25" t="s">
        <v>20</v>
      </c>
      <c r="C25" s="2">
        <f t="shared" ref="C25:M25" si="39">IF(C16=0, 0, C7/C16)</f>
        <v>0.66666666666666663</v>
      </c>
      <c r="D25" s="2">
        <f t="shared" si="39"/>
        <v>0.75</v>
      </c>
      <c r="E25" s="2">
        <f t="shared" si="39"/>
        <v>0.25</v>
      </c>
      <c r="F25" s="2">
        <f t="shared" si="39"/>
        <v>0.25</v>
      </c>
      <c r="G25" s="2">
        <f t="shared" si="39"/>
        <v>0.25</v>
      </c>
      <c r="H25" s="2">
        <f t="shared" si="39"/>
        <v>0.75</v>
      </c>
      <c r="I25" s="2">
        <f t="shared" si="39"/>
        <v>0</v>
      </c>
      <c r="J25" s="2">
        <f t="shared" si="39"/>
        <v>0.25</v>
      </c>
      <c r="K25" s="2">
        <f t="shared" si="39"/>
        <v>0</v>
      </c>
      <c r="L25" s="2">
        <f t="shared" si="39"/>
        <v>0.25</v>
      </c>
      <c r="M25" s="2">
        <f t="shared" si="39"/>
        <v>1</v>
      </c>
      <c r="N25" s="2">
        <f t="shared" ref="N25:AF25" si="40">IF(N16=0, 0, N7/N16)</f>
        <v>0</v>
      </c>
      <c r="O25" s="2">
        <f t="shared" si="40"/>
        <v>0.25</v>
      </c>
      <c r="P25" s="2">
        <f t="shared" si="40"/>
        <v>0.66666666666666663</v>
      </c>
      <c r="Q25" s="2">
        <f t="shared" si="40"/>
        <v>0</v>
      </c>
      <c r="R25" s="2">
        <f t="shared" si="40"/>
        <v>0</v>
      </c>
      <c r="S25" s="2">
        <f t="shared" si="40"/>
        <v>0.33333333333333331</v>
      </c>
      <c r="T25" s="2">
        <f t="shared" si="40"/>
        <v>0.33333333333333331</v>
      </c>
      <c r="U25" s="2">
        <f t="shared" si="40"/>
        <v>0.33333333333333331</v>
      </c>
      <c r="V25" s="2">
        <f t="shared" si="40"/>
        <v>0.5</v>
      </c>
      <c r="W25" s="2">
        <f t="shared" si="40"/>
        <v>0</v>
      </c>
      <c r="X25" s="2">
        <f t="shared" si="40"/>
        <v>0</v>
      </c>
      <c r="Y25" s="2">
        <f t="shared" si="40"/>
        <v>0</v>
      </c>
      <c r="Z25" s="2">
        <f t="shared" si="40"/>
        <v>0</v>
      </c>
      <c r="AA25" s="2">
        <f t="shared" si="40"/>
        <v>0</v>
      </c>
      <c r="AB25" s="2">
        <f t="shared" si="40"/>
        <v>0</v>
      </c>
      <c r="AC25" s="2">
        <f t="shared" si="40"/>
        <v>0</v>
      </c>
      <c r="AD25" s="2">
        <f t="shared" si="40"/>
        <v>0</v>
      </c>
      <c r="AE25" s="2">
        <f t="shared" si="40"/>
        <v>0</v>
      </c>
      <c r="AF25" s="2">
        <f t="shared" si="40"/>
        <v>0</v>
      </c>
      <c r="AG25" s="2">
        <f t="shared" si="36"/>
        <v>0.32857142857142857</v>
      </c>
    </row>
    <row r="26" spans="2:33" x14ac:dyDescent="0.35">
      <c r="B26" t="s">
        <v>21</v>
      </c>
      <c r="C26" s="2">
        <f t="shared" ref="C26:M26" si="41">IF(C17=0, 0, C8/C17)</f>
        <v>0</v>
      </c>
      <c r="D26" s="2">
        <f t="shared" si="41"/>
        <v>0.33333333333333331</v>
      </c>
      <c r="E26" s="2">
        <f t="shared" si="41"/>
        <v>0</v>
      </c>
      <c r="F26" s="2">
        <f t="shared" si="41"/>
        <v>1</v>
      </c>
      <c r="G26" s="2">
        <f t="shared" si="41"/>
        <v>0.66666666666666663</v>
      </c>
      <c r="H26" s="2">
        <f t="shared" si="41"/>
        <v>0.5</v>
      </c>
      <c r="I26" s="2">
        <f t="shared" si="41"/>
        <v>0</v>
      </c>
      <c r="J26" s="2">
        <f t="shared" si="41"/>
        <v>0.5</v>
      </c>
      <c r="K26" s="2">
        <f t="shared" si="41"/>
        <v>0.5</v>
      </c>
      <c r="L26" s="2">
        <f t="shared" si="41"/>
        <v>0.33333333333333331</v>
      </c>
      <c r="M26" s="2">
        <f t="shared" si="41"/>
        <v>0</v>
      </c>
      <c r="N26" s="2">
        <f t="shared" ref="N26:AF26" si="42">IF(N17=0, 0, N8/N17)</f>
        <v>0</v>
      </c>
      <c r="O26" s="2">
        <f t="shared" si="42"/>
        <v>0</v>
      </c>
      <c r="P26" s="2">
        <f t="shared" si="42"/>
        <v>1</v>
      </c>
      <c r="Q26" s="2">
        <f t="shared" si="42"/>
        <v>0.33333333333333331</v>
      </c>
      <c r="R26" s="2">
        <f t="shared" si="42"/>
        <v>0.66666666666666663</v>
      </c>
      <c r="S26" s="2">
        <f t="shared" si="42"/>
        <v>0.66666666666666663</v>
      </c>
      <c r="T26" s="2">
        <f t="shared" si="42"/>
        <v>0.33333333333333331</v>
      </c>
      <c r="U26" s="2">
        <f t="shared" si="42"/>
        <v>0.33333333333333331</v>
      </c>
      <c r="V26" s="2">
        <f t="shared" si="42"/>
        <v>0</v>
      </c>
      <c r="W26" s="2">
        <f t="shared" si="42"/>
        <v>0</v>
      </c>
      <c r="X26" s="2">
        <f t="shared" si="42"/>
        <v>0</v>
      </c>
      <c r="Y26" s="2">
        <f t="shared" si="42"/>
        <v>0</v>
      </c>
      <c r="Z26" s="2">
        <f t="shared" si="42"/>
        <v>0</v>
      </c>
      <c r="AA26" s="2">
        <f t="shared" si="42"/>
        <v>0</v>
      </c>
      <c r="AB26" s="2">
        <f t="shared" si="42"/>
        <v>0</v>
      </c>
      <c r="AC26" s="2">
        <f t="shared" si="42"/>
        <v>0</v>
      </c>
      <c r="AD26" s="2">
        <f t="shared" si="42"/>
        <v>0</v>
      </c>
      <c r="AE26" s="2">
        <f t="shared" si="42"/>
        <v>0</v>
      </c>
      <c r="AF26" s="2">
        <f t="shared" si="42"/>
        <v>0</v>
      </c>
      <c r="AG26" s="2">
        <f t="shared" si="36"/>
        <v>0.36842105263157893</v>
      </c>
    </row>
    <row r="27" spans="2:33" ht="15" thickBot="1" x14ac:dyDescent="0.4">
      <c r="B27" s="60" t="s">
        <v>122</v>
      </c>
      <c r="C27" s="61">
        <f>C9/C18</f>
        <v>0.18181818181818182</v>
      </c>
      <c r="D27" s="61">
        <f t="shared" ref="D27:AF27" si="43">D9/D18</f>
        <v>0.6875</v>
      </c>
      <c r="E27" s="61">
        <f t="shared" si="43"/>
        <v>0.23529411764705882</v>
      </c>
      <c r="F27" s="61">
        <f t="shared" si="43"/>
        <v>0.3125</v>
      </c>
      <c r="G27" s="61">
        <f t="shared" si="43"/>
        <v>0.4375</v>
      </c>
      <c r="H27" s="61">
        <f t="shared" si="43"/>
        <v>0.46666666666666667</v>
      </c>
      <c r="I27" s="61">
        <f t="shared" si="43"/>
        <v>0.25</v>
      </c>
      <c r="J27" s="61">
        <f t="shared" si="43"/>
        <v>0.2</v>
      </c>
      <c r="K27" s="61">
        <f t="shared" si="43"/>
        <v>0.29411764705882354</v>
      </c>
      <c r="L27" s="61">
        <f t="shared" si="43"/>
        <v>0.25</v>
      </c>
      <c r="M27" s="61">
        <f t="shared" si="43"/>
        <v>0.75</v>
      </c>
      <c r="N27" s="61">
        <f t="shared" si="43"/>
        <v>0.3125</v>
      </c>
      <c r="O27" s="61">
        <f t="shared" si="43"/>
        <v>0.2</v>
      </c>
      <c r="P27" s="61">
        <f t="shared" si="43"/>
        <v>0.69230769230769229</v>
      </c>
      <c r="Q27" s="61">
        <f t="shared" si="43"/>
        <v>0.23076923076923078</v>
      </c>
      <c r="R27" s="61">
        <f t="shared" si="43"/>
        <v>0.15384615384615385</v>
      </c>
      <c r="S27" s="61">
        <f t="shared" si="43"/>
        <v>0.38461538461538464</v>
      </c>
      <c r="T27" s="61">
        <f t="shared" si="43"/>
        <v>0.30769230769230771</v>
      </c>
      <c r="U27" s="61">
        <f t="shared" si="43"/>
        <v>0.35714285714285715</v>
      </c>
      <c r="V27" s="61">
        <f t="shared" si="43"/>
        <v>0.2</v>
      </c>
      <c r="W27" s="61" t="e">
        <f t="shared" si="43"/>
        <v>#DIV/0!</v>
      </c>
      <c r="X27" s="61" t="e">
        <f t="shared" si="43"/>
        <v>#DIV/0!</v>
      </c>
      <c r="Y27" s="61" t="e">
        <f t="shared" si="43"/>
        <v>#DIV/0!</v>
      </c>
      <c r="Z27" s="61" t="e">
        <f t="shared" si="43"/>
        <v>#DIV/0!</v>
      </c>
      <c r="AA27" s="61" t="e">
        <f t="shared" si="43"/>
        <v>#DIV/0!</v>
      </c>
      <c r="AB27" s="61" t="e">
        <f t="shared" si="43"/>
        <v>#DIV/0!</v>
      </c>
      <c r="AC27" s="61" t="e">
        <f t="shared" si="43"/>
        <v>#DIV/0!</v>
      </c>
      <c r="AD27" s="61" t="e">
        <f t="shared" si="43"/>
        <v>#DIV/0!</v>
      </c>
      <c r="AE27" s="61" t="e">
        <f t="shared" si="43"/>
        <v>#DIV/0!</v>
      </c>
      <c r="AF27" s="61" t="e">
        <f t="shared" si="43"/>
        <v>#DIV/0!</v>
      </c>
      <c r="AG27" s="61">
        <f t="shared" si="36"/>
        <v>0.34494773519163763</v>
      </c>
    </row>
    <row r="28" spans="2:33" ht="15" thickTop="1" x14ac:dyDescent="0.35"/>
    <row r="29" spans="2:33" x14ac:dyDescent="0.35">
      <c r="B29" s="1" t="s">
        <v>101</v>
      </c>
      <c r="J29" s="1" t="s">
        <v>107</v>
      </c>
    </row>
    <row r="30" spans="2:33" x14ac:dyDescent="0.35">
      <c r="C30" t="s">
        <v>103</v>
      </c>
      <c r="D30" t="s">
        <v>102</v>
      </c>
      <c r="E30" t="s">
        <v>108</v>
      </c>
      <c r="F30" t="s">
        <v>104</v>
      </c>
      <c r="G30" t="s">
        <v>109</v>
      </c>
      <c r="H30" t="s">
        <v>105</v>
      </c>
      <c r="K30" t="s">
        <v>103</v>
      </c>
      <c r="L30" t="s">
        <v>102</v>
      </c>
      <c r="M30" t="s">
        <v>108</v>
      </c>
      <c r="N30" t="s">
        <v>104</v>
      </c>
      <c r="O30" t="s">
        <v>109</v>
      </c>
      <c r="P30" t="s">
        <v>105</v>
      </c>
    </row>
    <row r="31" spans="2:33" x14ac:dyDescent="0.35">
      <c r="B31" t="s">
        <v>8</v>
      </c>
      <c r="C31">
        <f>COUNTIF('Formatives Tracker'!$E$2:$E$1008, $B31)</f>
        <v>0</v>
      </c>
      <c r="D31">
        <f>COUNTIFS('Formatives Tracker'!$E$2:$E$1008, $B31, 'Formatives Tracker'!$A$2:$A$1008, "Done")</f>
        <v>0</v>
      </c>
      <c r="E31">
        <f>COUNTIFS('Formatives Tracker'!$E$2:$E$1008, $B31, 'Formatives Tracker'!$A$2:$A$1008, "Not Released")</f>
        <v>0</v>
      </c>
      <c r="F31">
        <f>C31-D31-E31</f>
        <v>0</v>
      </c>
      <c r="G31">
        <f>C31-D31</f>
        <v>0</v>
      </c>
      <c r="H31" s="2">
        <f>IFERROR(AVERAGEIF('Formatives Tracker'!$E$2:$E$1008, $B31, 'Formatives Tracker'!$J$2:$J$1008), 0)</f>
        <v>0</v>
      </c>
      <c r="J31" t="s">
        <v>8</v>
      </c>
      <c r="K31">
        <f>COUNTIF('Summatives Tracker'!$E$2:$E$1004, $J31)</f>
        <v>2</v>
      </c>
      <c r="L31">
        <f ca="1">COUNTIFS('Summatives Tracker'!$E$2:$E$1004, $B31, 'Summatives Tracker'!$A$2:$A$1004, "Done")</f>
        <v>2</v>
      </c>
      <c r="M31">
        <f ca="1">COUNTIFS('Summatives Tracker'!$E$2:$E$1004, $B31, 'Summatives Tracker'!$A$2:$A$1004, "Not Released")</f>
        <v>0</v>
      </c>
      <c r="N31">
        <f ca="1">K31-L31-M31</f>
        <v>0</v>
      </c>
      <c r="O31">
        <f ca="1">K31-L31</f>
        <v>0</v>
      </c>
      <c r="P31" s="2">
        <f>IFERROR(AVERAGEIF('Summatives Tracker'!$E$6:$E$1004, $B31, 'Summatives Tracker'!$I$6:$I$1004), 0)</f>
        <v>0.75</v>
      </c>
    </row>
    <row r="32" spans="2:33" x14ac:dyDescent="0.35">
      <c r="B32" t="s">
        <v>11</v>
      </c>
      <c r="C32">
        <f>COUNTIF('Formatives Tracker'!$E$2:$E$1008, $B32)</f>
        <v>0</v>
      </c>
      <c r="D32">
        <f>COUNTIFS('Formatives Tracker'!$E$2:$E$1008, $B32, 'Formatives Tracker'!$A$2:$A$1008, "Done")</f>
        <v>0</v>
      </c>
      <c r="E32">
        <f>COUNTIFS('Formatives Tracker'!$E$2:$E$1008, $B32, 'Formatives Tracker'!$A$2:$A$1008, "Not Released")</f>
        <v>0</v>
      </c>
      <c r="F32">
        <f t="shared" ref="F32:F36" si="44">C32-D32-E32</f>
        <v>0</v>
      </c>
      <c r="G32">
        <f t="shared" ref="G32:G36" si="45">C32-D32</f>
        <v>0</v>
      </c>
      <c r="H32" s="2">
        <f>IFERROR(AVERAGEIF('Formatives Tracker'!$E$2:$E$1008, $B32, 'Formatives Tracker'!$J$2:$J$1008), 0)</f>
        <v>0</v>
      </c>
      <c r="J32" t="s">
        <v>11</v>
      </c>
      <c r="K32">
        <f>COUNTIF('Summatives Tracker'!$E$2:$E$1004, $J32)</f>
        <v>4</v>
      </c>
      <c r="L32">
        <f ca="1">COUNTIFS('Summatives Tracker'!$E$2:$E$1004, $B32, 'Summatives Tracker'!$A$2:$A$1004, "Done")</f>
        <v>4</v>
      </c>
      <c r="M32">
        <f ca="1">COUNTIFS('Summatives Tracker'!$E$2:$E$1004, $B32, 'Summatives Tracker'!$A$2:$A$1004, "Not Released")</f>
        <v>0</v>
      </c>
      <c r="N32">
        <f t="shared" ref="N32:N36" ca="1" si="46">K32-L32-M32</f>
        <v>0</v>
      </c>
      <c r="O32">
        <f t="shared" ref="O32:O36" ca="1" si="47">K32-L32</f>
        <v>0</v>
      </c>
      <c r="P32" s="2">
        <f>IFERROR(AVERAGEIF('Summatives Tracker'!$E$6:$E$1004, $B32, 'Summatives Tracker'!$I$6:$I$1004), 0)</f>
        <v>0.72578877005347597</v>
      </c>
    </row>
    <row r="33" spans="2:16" x14ac:dyDescent="0.35">
      <c r="B33" t="s">
        <v>12</v>
      </c>
      <c r="C33">
        <f>COUNTIF('Formatives Tracker'!$E$2:$E$1008, $B33)</f>
        <v>0</v>
      </c>
      <c r="D33">
        <f>COUNTIFS('Formatives Tracker'!$E$2:$E$1008, $B33, 'Formatives Tracker'!$A$2:$A$1008, "Done")</f>
        <v>0</v>
      </c>
      <c r="E33">
        <f>COUNTIFS('Formatives Tracker'!$E$2:$E$1008, $B33, 'Formatives Tracker'!$A$2:$A$1008, "Not Released")</f>
        <v>0</v>
      </c>
      <c r="F33">
        <f t="shared" si="44"/>
        <v>0</v>
      </c>
      <c r="G33">
        <f t="shared" si="45"/>
        <v>0</v>
      </c>
      <c r="H33" s="2">
        <f>IFERROR(AVERAGEIF('Formatives Tracker'!$E$2:$E$1008, $B33, 'Formatives Tracker'!$J$2:$J$1008), 0)</f>
        <v>0</v>
      </c>
      <c r="J33" t="s">
        <v>12</v>
      </c>
      <c r="K33">
        <f>COUNTIF('Summatives Tracker'!$E$2:$E$1004, $J33)</f>
        <v>3</v>
      </c>
      <c r="L33">
        <f ca="1">COUNTIFS('Summatives Tracker'!$E$2:$E$1004, $B33, 'Summatives Tracker'!$A$2:$A$1004, "Done")</f>
        <v>3</v>
      </c>
      <c r="M33">
        <f ca="1">COUNTIFS('Summatives Tracker'!$E$2:$E$1004, $B33, 'Summatives Tracker'!$A$2:$A$1004, "Not Released")</f>
        <v>0</v>
      </c>
      <c r="N33">
        <f t="shared" ca="1" si="46"/>
        <v>0</v>
      </c>
      <c r="O33">
        <f t="shared" ca="1" si="47"/>
        <v>0</v>
      </c>
      <c r="P33" s="2">
        <f>IFERROR(AVERAGEIF('Summatives Tracker'!$E$6:$E$1004, $B33, 'Summatives Tracker'!$I$6:$I$1004), 0)</f>
        <v>0.83250000000000002</v>
      </c>
    </row>
    <row r="34" spans="2:16" x14ac:dyDescent="0.35">
      <c r="B34" t="s">
        <v>13</v>
      </c>
      <c r="C34">
        <f>COUNTIF('Formatives Tracker'!$E$2:$E$1008, $B34)</f>
        <v>12</v>
      </c>
      <c r="D34">
        <f ca="1">COUNTIFS('Formatives Tracker'!$E$2:$E$1008, $B34, 'Formatives Tracker'!$A$2:$A$1008, "Done")</f>
        <v>12</v>
      </c>
      <c r="E34">
        <f ca="1">COUNTIFS('Formatives Tracker'!$E$2:$E$1008, $B34, 'Formatives Tracker'!$A$2:$A$1008, "Not Released")</f>
        <v>0</v>
      </c>
      <c r="F34">
        <f t="shared" ca="1" si="44"/>
        <v>0</v>
      </c>
      <c r="G34">
        <f t="shared" ca="1" si="45"/>
        <v>0</v>
      </c>
      <c r="H34" s="2">
        <f>IFERROR(AVERAGEIF('Formatives Tracker'!$E$2:$E$1008, $B34, 'Formatives Tracker'!$J$2:$J$1008), 0)</f>
        <v>0.78500000000000003</v>
      </c>
      <c r="J34" t="s">
        <v>13</v>
      </c>
      <c r="K34">
        <f>COUNTIF('Summatives Tracker'!$E$2:$E$1004, $J34)</f>
        <v>3</v>
      </c>
      <c r="L34">
        <f ca="1">COUNTIFS('Summatives Tracker'!$E$2:$E$1004, $B34, 'Summatives Tracker'!$A$2:$A$1004, "Done")</f>
        <v>3</v>
      </c>
      <c r="M34">
        <f ca="1">COUNTIFS('Summatives Tracker'!$E$2:$E$1004, $B34, 'Summatives Tracker'!$A$2:$A$1004, "Not Released")</f>
        <v>0</v>
      </c>
      <c r="N34">
        <f t="shared" ca="1" si="46"/>
        <v>0</v>
      </c>
      <c r="O34">
        <f t="shared" ca="1" si="47"/>
        <v>0</v>
      </c>
      <c r="P34" s="2">
        <f>IFERROR(AVERAGEIF('Summatives Tracker'!$E$6:$E$1004, $B34, 'Summatives Tracker'!$I$6:$I$1004), 0)</f>
        <v>0.55000000000000004</v>
      </c>
    </row>
    <row r="35" spans="2:16" x14ac:dyDescent="0.35">
      <c r="B35" t="s">
        <v>9</v>
      </c>
      <c r="C35">
        <f>COUNTIF('Formatives Tracker'!$E$2:$E$1008, $B35)</f>
        <v>15</v>
      </c>
      <c r="D35">
        <f ca="1">COUNTIFS('Formatives Tracker'!$E$2:$E$1008, $B35, 'Formatives Tracker'!$A$2:$A$1008, "Done")</f>
        <v>15</v>
      </c>
      <c r="E35">
        <f ca="1">COUNTIFS('Formatives Tracker'!$E$2:$E$1008, $B35, 'Formatives Tracker'!$A$2:$A$1008, "Not Released")</f>
        <v>0</v>
      </c>
      <c r="F35">
        <f t="shared" ca="1" si="44"/>
        <v>0</v>
      </c>
      <c r="G35">
        <f t="shared" ca="1" si="45"/>
        <v>0</v>
      </c>
      <c r="H35" s="2">
        <f>IFERROR(AVERAGEIF('Formatives Tracker'!$E$2:$E$1008, $B35, 'Formatives Tracker'!$J$2:$J$1008), 0)</f>
        <v>0.80560374149659864</v>
      </c>
      <c r="J35" t="s">
        <v>9</v>
      </c>
      <c r="K35">
        <f>COUNTIF('Summatives Tracker'!$E$2:$E$1004, $J35)</f>
        <v>2</v>
      </c>
      <c r="L35">
        <f ca="1">COUNTIFS('Summatives Tracker'!$E$2:$E$1004, $B35, 'Summatives Tracker'!$A$2:$A$1004, "Done")</f>
        <v>2</v>
      </c>
      <c r="M35">
        <f ca="1">COUNTIFS('Summatives Tracker'!$E$2:$E$1004, $B35, 'Summatives Tracker'!$A$2:$A$1004, "Not Released")</f>
        <v>0</v>
      </c>
      <c r="N35">
        <f t="shared" ca="1" si="46"/>
        <v>0</v>
      </c>
      <c r="O35">
        <f t="shared" ca="1" si="47"/>
        <v>0</v>
      </c>
      <c r="P35" s="2">
        <f>IFERROR(AVERAGEIF('Summatives Tracker'!$E$6:$E$1004, $B35, 'Summatives Tracker'!$I$6:$I$1004), 0)</f>
        <v>0.72499999999999998</v>
      </c>
    </row>
    <row r="36" spans="2:16" x14ac:dyDescent="0.35">
      <c r="B36" t="s">
        <v>5</v>
      </c>
      <c r="C36">
        <f>COUNTIF('Formatives Tracker'!$E$2:$E$1008, $B36)</f>
        <v>0</v>
      </c>
      <c r="D36">
        <f>COUNTIFS('Formatives Tracker'!$E$2:$E$1008, $B36, 'Formatives Tracker'!$A$2:$A$1008, "Done")</f>
        <v>0</v>
      </c>
      <c r="E36">
        <f>COUNTIFS('Formatives Tracker'!$E$2:$E$1008, $B36, 'Formatives Tracker'!$A$2:$A$1008, "Not Released")</f>
        <v>0</v>
      </c>
      <c r="F36">
        <f t="shared" si="44"/>
        <v>0</v>
      </c>
      <c r="G36">
        <f t="shared" si="45"/>
        <v>0</v>
      </c>
      <c r="H36" s="2">
        <f>IFERROR(AVERAGEIF('Formatives Tracker'!$E$2:$E$1008, $B36, 'Formatives Tracker'!$J$2:$J$1008), 0)</f>
        <v>0</v>
      </c>
      <c r="J36" t="s">
        <v>5</v>
      </c>
      <c r="K36">
        <f>COUNTIF('Summatives Tracker'!$E$2:$E$1004, $J36)</f>
        <v>3</v>
      </c>
      <c r="L36">
        <f ca="1">COUNTIFS('Summatives Tracker'!$E$2:$E$1004, $B36, 'Summatives Tracker'!$A$2:$A$1004, "Done")</f>
        <v>3</v>
      </c>
      <c r="M36">
        <f ca="1">COUNTIFS('Summatives Tracker'!$E$2:$E$1004, $B36, 'Summatives Tracker'!$A$2:$A$1004, "Not Released")</f>
        <v>0</v>
      </c>
      <c r="N36">
        <f t="shared" ca="1" si="46"/>
        <v>0</v>
      </c>
      <c r="O36">
        <f t="shared" ca="1" si="47"/>
        <v>0</v>
      </c>
      <c r="P36" s="2">
        <f>IFERROR(AVERAGEIF('Summatives Tracker'!$E$6:$E$1004, $B36, 'Summatives Tracker'!$I$6:$I$1004), 0)</f>
        <v>0.79333333333333333</v>
      </c>
    </row>
    <row r="38" spans="2:16" x14ac:dyDescent="0.35">
      <c r="B38" s="1" t="s">
        <v>110</v>
      </c>
      <c r="F38" s="1"/>
    </row>
    <row r="39" spans="2:16" x14ac:dyDescent="0.35">
      <c r="C39" t="s">
        <v>112</v>
      </c>
      <c r="D39" t="s">
        <v>113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</row>
    <row r="40" spans="2:16" x14ac:dyDescent="0.35">
      <c r="B40" t="s">
        <v>8</v>
      </c>
      <c r="C40" s="46">
        <f>IFERROR(SUMIF('Summatives Tracker'!$E$2:$E$1004, $B40, 'Summatives Tracker'!$K$2:$K$1004), 0)</f>
        <v>0.255</v>
      </c>
      <c r="D40" s="46">
        <f>SUMIFS('Summatives Tracker'!$J$2:$J$1003, 'Summatives Tracker'!$I$2:$I$1003, "&gt;0", 'Summatives Tracker'!$E$2:$E$1003, B40)</f>
        <v>0.33999999999999997</v>
      </c>
      <c r="E40" s="47">
        <f t="shared" ref="E40:E45" si="48">1-D40</f>
        <v>0.66</v>
      </c>
      <c r="F40" s="47">
        <f>IFERROR(IF((0.7-$C40)/$E40&gt;=0,(0.7-$C40)/$E40,0), IF($C40&gt;=0.7, 0, 1))</f>
        <v>0.67424242424242409</v>
      </c>
      <c r="G40" s="47">
        <f>IFERROR(IF((0.6-$C40)/$E40&gt;=0,(0.6-$C40)/$E40,0), IF($C40&gt;=0.6, 0, 1))</f>
        <v>0.52272727272727271</v>
      </c>
      <c r="H40" s="47">
        <f>IFERROR(IF((0.5-$C40)/$E40&gt;=0,(0.5-$C40)/$E40,0), IF($C40&gt;=0.5, 0, 1))</f>
        <v>0.37121212121212122</v>
      </c>
      <c r="I40" s="47">
        <f>IFERROR(IF((0.4-$C40)/$E40&gt;=0,(0.4-$C40)/$E40,0), IF($C40&gt;=0.4, 0, 1))</f>
        <v>0.21969696969696972</v>
      </c>
    </row>
    <row r="41" spans="2:16" x14ac:dyDescent="0.35">
      <c r="B41" t="s">
        <v>11</v>
      </c>
      <c r="C41" s="46">
        <f>IFERROR(SUMIF('Summatives Tracker'!$E$2:$E$1004, $B41, 'Summatives Tracker'!$K$2:$K$1004), 0)</f>
        <v>0.71405704099821754</v>
      </c>
      <c r="D41" s="46">
        <f>SUMIFS('Summatives Tracker'!$J$2:$J$1003, 'Summatives Tracker'!$I$2:$I$1003, "&gt;0", 'Summatives Tracker'!$E$2:$E$1003, B41)</f>
        <v>1</v>
      </c>
      <c r="E41" s="47">
        <f t="shared" si="48"/>
        <v>0</v>
      </c>
      <c r="F41" s="47">
        <f t="shared" ref="F41:F46" si="49">IFERROR(IF((0.7-$C41)/$E41&gt;=0,(0.7-$C41)/$E41,0), IF($C41&gt;=0.7, 0, 1))</f>
        <v>0</v>
      </c>
      <c r="G41" s="47">
        <f t="shared" ref="G41:G46" si="50">IFERROR(IF((0.6-$C41)/$E41&gt;=0,(0.6-$C41)/$E41,0), IF($C41&gt;=0.6, 0, 1))</f>
        <v>0</v>
      </c>
      <c r="H41" s="47">
        <f t="shared" ref="H41:H46" si="51">IFERROR(IF((0.5-$C41)/$E41&gt;=0,(0.5-$C41)/$E41,0), IF($C41&gt;=0.5, 0, 1))</f>
        <v>0</v>
      </c>
      <c r="I41" s="47">
        <f t="shared" ref="I41:I46" si="52">IFERROR(IF((0.4-$C41)/$E41&gt;=0,(0.4-$C41)/$E41,0), IF($C41&gt;=0.4, 0, 1))</f>
        <v>0</v>
      </c>
    </row>
    <row r="42" spans="2:16" x14ac:dyDescent="0.35">
      <c r="B42" t="s">
        <v>12</v>
      </c>
      <c r="C42" s="46">
        <f>IFERROR(SUMIF('Summatives Tracker'!$E$2:$E$1004, $B42, 'Summatives Tracker'!$K$2:$K$1004), 0)</f>
        <v>0.60315000000000007</v>
      </c>
      <c r="D42" s="46">
        <f>SUMIFS('Summatives Tracker'!$J$2:$J$1003, 'Summatives Tracker'!$I$2:$I$1003, "&gt;0", 'Summatives Tracker'!$E$2:$E$1003, B42)</f>
        <v>1</v>
      </c>
      <c r="E42" s="47">
        <f t="shared" si="48"/>
        <v>0</v>
      </c>
      <c r="F42" s="47">
        <f t="shared" si="49"/>
        <v>1</v>
      </c>
      <c r="G42" s="47">
        <f t="shared" si="50"/>
        <v>0</v>
      </c>
      <c r="H42" s="47">
        <f t="shared" si="51"/>
        <v>0</v>
      </c>
      <c r="I42" s="47">
        <f t="shared" si="52"/>
        <v>0</v>
      </c>
    </row>
    <row r="43" spans="2:16" x14ac:dyDescent="0.35">
      <c r="B43" t="s">
        <v>13</v>
      </c>
      <c r="C43" s="46">
        <f>IFERROR(SUMIF('Summatives Tracker'!$E$2:$E$1004, $B43, 'Summatives Tracker'!$K$2:$K$1004), 0)</f>
        <v>0.55000000000000004</v>
      </c>
      <c r="D43" s="46">
        <f>SUMIFS('Summatives Tracker'!$J$2:$J$1003, 'Summatives Tracker'!$I$2:$I$1003, "&gt;0", 'Summatives Tracker'!$E$2:$E$1003, B43)</f>
        <v>0.99999999999999989</v>
      </c>
      <c r="E43" s="47">
        <f t="shared" si="48"/>
        <v>0</v>
      </c>
      <c r="F43" s="47">
        <f t="shared" si="49"/>
        <v>1</v>
      </c>
      <c r="G43" s="47">
        <f t="shared" si="50"/>
        <v>1</v>
      </c>
      <c r="H43" s="47">
        <f t="shared" si="51"/>
        <v>0</v>
      </c>
      <c r="I43" s="47">
        <f t="shared" si="52"/>
        <v>0</v>
      </c>
    </row>
    <row r="44" spans="2:16" x14ac:dyDescent="0.35">
      <c r="B44" t="s">
        <v>9</v>
      </c>
      <c r="C44" s="46">
        <f>IFERROR(SUMIF('Summatives Tracker'!$E$2:$E$1004, $B44, 'Summatives Tracker'!$K$2:$K$1004), 0)</f>
        <v>0.60289999999999999</v>
      </c>
      <c r="D44" s="46">
        <f>SUMIFS('Summatives Tracker'!$J$2:$J$1003, 'Summatives Tracker'!$I$2:$I$1003, "&gt;0", 'Summatives Tracker'!$E$2:$E$1003, B44)</f>
        <v>1</v>
      </c>
      <c r="E44" s="47">
        <f t="shared" si="48"/>
        <v>0</v>
      </c>
      <c r="F44" s="47">
        <f t="shared" si="49"/>
        <v>1</v>
      </c>
      <c r="G44" s="47">
        <f t="shared" si="50"/>
        <v>0</v>
      </c>
      <c r="H44" s="47">
        <f t="shared" si="51"/>
        <v>0</v>
      </c>
      <c r="I44" s="47">
        <f t="shared" si="52"/>
        <v>0</v>
      </c>
    </row>
    <row r="45" spans="2:16" x14ac:dyDescent="0.35">
      <c r="B45" t="s">
        <v>5</v>
      </c>
      <c r="C45" s="46">
        <f>IFERROR(SUMIF('Summatives Tracker'!$E$2:$E$1004, $B45, 'Summatives Tracker'!$K$2:$K$1004), 0)</f>
        <v>0.70650000000000002</v>
      </c>
      <c r="D45" s="46">
        <f>SUMIFS('Summatives Tracker'!$J$2:$J$1003, 'Summatives Tracker'!$I$2:$I$1003, "&gt;0", 'Summatives Tracker'!$E$2:$E$1003, B45)</f>
        <v>1</v>
      </c>
      <c r="E45" s="47">
        <f t="shared" si="48"/>
        <v>0</v>
      </c>
      <c r="F45" s="47">
        <f t="shared" si="49"/>
        <v>0</v>
      </c>
      <c r="G45" s="47">
        <f t="shared" si="50"/>
        <v>0</v>
      </c>
      <c r="H45" s="47">
        <f t="shared" si="51"/>
        <v>0</v>
      </c>
      <c r="I45" s="47">
        <f t="shared" si="52"/>
        <v>0</v>
      </c>
    </row>
    <row r="46" spans="2:16" x14ac:dyDescent="0.35">
      <c r="B46" t="s">
        <v>153</v>
      </c>
      <c r="C46" s="47">
        <f>SUM(C40:C45)/6</f>
        <v>0.57193450683303626</v>
      </c>
      <c r="D46" s="47">
        <f>SUM(D40:D45)/6</f>
        <v>0.89</v>
      </c>
      <c r="E46" s="47">
        <f>SUM(E40:E45)/6</f>
        <v>0.11</v>
      </c>
      <c r="F46" s="47">
        <f t="shared" si="49"/>
        <v>1.1642317560633064</v>
      </c>
      <c r="G46" s="47">
        <f t="shared" si="50"/>
        <v>0.25514084697239742</v>
      </c>
      <c r="H46" s="47">
        <f t="shared" si="51"/>
        <v>0</v>
      </c>
      <c r="I46" s="47">
        <f t="shared" si="52"/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Graphs</vt:lpstr>
      <vt:lpstr>Attendence Tracker</vt:lpstr>
      <vt:lpstr>Formatives Tracker</vt:lpstr>
      <vt:lpstr>Summatives Tracker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EMERSON, MATTHEW J. (Student)</dc:creator>
  <cp:lastModifiedBy>Matthew Emerson</cp:lastModifiedBy>
  <dcterms:created xsi:type="dcterms:W3CDTF">2025-12-17T08:02:37Z</dcterms:created>
  <dcterms:modified xsi:type="dcterms:W3CDTF">2026-06-16T18:40:03Z</dcterms:modified>
</cp:coreProperties>
</file>